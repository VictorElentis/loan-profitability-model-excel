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Summary" sheetId="2" state="visible" r:id="rId4"/>
    <sheet name="Schedule" sheetId="3" state="visible" r:id="rId5"/>
    <sheet name="Sensitivit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<sst xmlns="http://schemas.openxmlformats.org/spreadsheetml/2006/main" count="85" uniqueCount="77">
  <si>
    <t xml:space="preserve">Loan Profitability and Expected Loss Model</t>
  </si>
  <si>
    <t xml:space="preserve">Illustrative model of one amortizing loan: what the borrower pays, what the bank earns after funding, operating and credit costs, and the return on the capital held against it.</t>
  </si>
  <si>
    <t xml:space="preserve">Legend: blue text on yellow = assumption you can change. Black = formula. All figures are illustrative assumptions, not any bank's actual numbers.</t>
  </si>
  <si>
    <t xml:space="preserve">Assumption</t>
  </si>
  <si>
    <t xml:space="preserve">Value</t>
  </si>
  <si>
    <t xml:space="preserve">Notes</t>
  </si>
  <si>
    <t xml:space="preserve">Loan amount ($)</t>
  </si>
  <si>
    <t xml:space="preserve">Amount lent to the borrower (example value)</t>
  </si>
  <si>
    <t xml:space="preserve">Annual interest rate charged</t>
  </si>
  <si>
    <t xml:space="preserve">Rate paid by the borrower, paid monthly</t>
  </si>
  <si>
    <t xml:space="preserve">Term (years, 1 to 10)</t>
  </si>
  <si>
    <t xml:space="preserve">Schedule is monthly and holds up to 120 months</t>
  </si>
  <si>
    <t xml:space="preserve">Origination fee (% of loan)</t>
  </si>
  <si>
    <t xml:space="preserve">Fee earned by the bank in month 1</t>
  </si>
  <si>
    <t xml:space="preserve">Cost of funds (annual)</t>
  </si>
  <si>
    <t xml:space="preserve">What the bank pays to fund the loan (assumption)</t>
  </si>
  <si>
    <t xml:space="preserve">Operating cost (annual, % of balance)</t>
  </si>
  <si>
    <t xml:space="preserve">Cost of servicing the loan (assumption)</t>
  </si>
  <si>
    <t xml:space="preserve">Probability of default, PD (annual)</t>
  </si>
  <si>
    <t xml:space="preserve">Chance the borrower defaults in a year (assumption)</t>
  </si>
  <si>
    <t xml:space="preserve">Loss given default, LGD</t>
  </si>
  <si>
    <t xml:space="preserve">Share of the balance lost if default happens (assumption)</t>
  </si>
  <si>
    <t xml:space="preserve">Capital held (% of balance)</t>
  </si>
  <si>
    <t xml:space="preserve">Simplified capital buffer, not a regulatory formula</t>
  </si>
  <si>
    <t xml:space="preserve">Required return on capital (hurdle)</t>
  </si>
  <si>
    <t xml:space="preserve">Minimum return the bank wants on its capital (assumption)</t>
  </si>
  <si>
    <t xml:space="preserve">Tax rate</t>
  </si>
  <si>
    <t xml:space="preserve">Applied to pre-tax profit (assumption)</t>
  </si>
  <si>
    <t xml:space="preserve">Derived values</t>
  </si>
  <si>
    <t xml:space="preserve">Number of monthly payments</t>
  </si>
  <si>
    <t xml:space="preserve">Monthly interest rate</t>
  </si>
  <si>
    <t xml:space="preserve">Monthly payment ($)</t>
  </si>
  <si>
    <t xml:space="preserve">Origination fee income ($)</t>
  </si>
  <si>
    <t xml:space="preserve">Summary: Is this loan worth making?</t>
  </si>
  <si>
    <t xml:space="preserve">Results update automatically when you change the assumptions on the Inputs sheet.</t>
  </si>
  <si>
    <t xml:space="preserve">Borrower view</t>
  </si>
  <si>
    <t xml:space="preserve">Monthly payment</t>
  </si>
  <si>
    <t xml:space="preserve">Total interest paid by borrower</t>
  </si>
  <si>
    <t xml:space="preserve">Total repaid (principal + interest)</t>
  </si>
  <si>
    <t xml:space="preserve">Bank view (over the life of the loan)</t>
  </si>
  <si>
    <t xml:space="preserve">Interest income</t>
  </si>
  <si>
    <t xml:space="preserve">Origination fee income</t>
  </si>
  <si>
    <t xml:space="preserve">Funding cost</t>
  </si>
  <si>
    <t xml:space="preserve">Operating cost</t>
  </si>
  <si>
    <t xml:space="preserve">Expected credit loss</t>
  </si>
  <si>
    <t xml:space="preserve">Pre-tax profit</t>
  </si>
  <si>
    <t xml:space="preserve">Tax</t>
  </si>
  <si>
    <t xml:space="preserve">Net income</t>
  </si>
  <si>
    <t xml:space="preserve">Risk and return</t>
  </si>
  <si>
    <t xml:space="preserve">Capital-years held (sum of monthly capital / 12)</t>
  </si>
  <si>
    <t xml:space="preserve">Return on capital (annualized)</t>
  </si>
  <si>
    <t xml:space="preserve">Required return (hurdle)</t>
  </si>
  <si>
    <t xml:space="preserve">Meets hurdle?</t>
  </si>
  <si>
    <t xml:space="preserve">Economic profit (net income minus hurdle charge)</t>
  </si>
  <si>
    <t xml:space="preserve">Lifetime expected loss as % of loan</t>
  </si>
  <si>
    <t xml:space="preserve">Break-even interest rate (covers funding, operating and expected loss costs)</t>
  </si>
  <si>
    <t xml:space="preserve">Rate charged minus break-even rate (annual margin)</t>
  </si>
  <si>
    <t xml:space="preserve">Check: balance is zero at end of term</t>
  </si>
  <si>
    <t xml:space="preserve">How to read it: if return on capital is above the hurdle, the loan creates value. Raise the expected loss (PD or LGD) or cost of funds on the Inputs sheet and watch it fall below.</t>
  </si>
  <si>
    <t xml:space="preserve">Monthly Loan Schedule and Bank Profitability</t>
  </si>
  <si>
    <t xml:space="preserve">All figures are formulas driven by the Inputs sheet. Rows after the loan is repaid show a dash.</t>
  </si>
  <si>
    <t xml:space="preserve">Month</t>
  </si>
  <si>
    <t xml:space="preserve">Opening balance</t>
  </si>
  <si>
    <t xml:space="preserve">Payment</t>
  </si>
  <si>
    <t xml:space="preserve">Interest</t>
  </si>
  <si>
    <t xml:space="preserve">Principal</t>
  </si>
  <si>
    <t xml:space="preserve">Closing balance</t>
  </si>
  <si>
    <t xml:space="preserve">Expected loss</t>
  </si>
  <si>
    <t xml:space="preserve">Capital held</t>
  </si>
  <si>
    <t xml:space="preserve">Total</t>
  </si>
  <si>
    <t xml:space="preserve">Sensitivity Analysis</t>
  </si>
  <si>
    <t xml:space="preserve">Table 1: monthly payment for different rates and terms. Table 2: annual risk-adjusted margin for different rates and default probabilities (approximate, on the average balance, before fee and tax).</t>
  </si>
  <si>
    <t xml:space="preserve">Table 1: Monthly payment ($) by interest rate (rows) and term in years (columns)</t>
  </si>
  <si>
    <t xml:space="preserve">Rate / Term</t>
  </si>
  <si>
    <t xml:space="preserve">Table 2: Annual risk-adjusted margin by interest rate (rows) and probability of default (columns)</t>
  </si>
  <si>
    <t xml:space="preserve">Rate / PD</t>
  </si>
  <si>
    <t xml:space="preserve">Margin = interest rate - cost of funds - operating cost - (PD x LGD). Green = positive margin, red = the loan loses money before capital costs.</t>
  </si>
</sst>
</file>

<file path=xl/styles.xml><?xml version="1.0" encoding="utf-8"?>
<styleSheet xmlns="http://schemas.openxmlformats.org/spreadsheetml/2006/main">
  <numFmts count="8">
    <numFmt numFmtId="164" formatCode="General"/>
    <numFmt numFmtId="165" formatCode="\$#,##0;&quot;($&quot;#,##0\);\-"/>
    <numFmt numFmtId="166" formatCode="0.00%;\(0.00%\);\-"/>
    <numFmt numFmtId="167" formatCode="0"/>
    <numFmt numFmtId="168" formatCode="0.0000%"/>
    <numFmt numFmtId="169" formatCode="\$#,##0.00;&quot;($&quot;#,##0.00\);\-"/>
    <numFmt numFmtId="170" formatCode="0.0%;\(0.0%\);\-"/>
    <numFmt numFmtId="171" formatCode="0&quot; yr&quot;"/>
  </numFmts>
  <fonts count="14">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name val="Arial"/>
      <family val="0"/>
      <charset val="1"/>
    </font>
    <font>
      <i val="true"/>
      <sz val="9"/>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71" fontId="13" fillId="4" borderId="0" xfId="0" applyFont="true" applyBorder="false" applyAlignment="true" applyProtection="false">
      <alignment horizontal="center" vertical="bottom" textRotation="0" wrapText="false" indent="0" shrinkToFit="false"/>
      <protection locked="true" hidden="false"/>
    </xf>
    <xf numFmtId="170" fontId="13" fillId="4" borderId="0" xfId="0" applyFont="true" applyBorder="false" applyAlignment="false" applyProtection="false">
      <alignment horizontal="general" vertical="bottom" textRotation="0" wrapText="false" indent="0" shrinkToFit="false"/>
      <protection locked="true" hidden="false"/>
    </xf>
    <xf numFmtId="170" fontId="13" fillId="4"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Loan balance over time</a:t>
            </a:r>
          </a:p>
        </c:rich>
      </c:tx>
      <c:overlay val="0"/>
      <c:spPr>
        <a:noFill/>
        <a:ln w="0">
          <a:noFill/>
        </a:ln>
      </c:spPr>
    </c:title>
    <c:autoTitleDeleted val="0"/>
    <c:plotArea>
      <c:lineChart>
        <c:grouping val="standard"/>
        <c:varyColors val="0"/>
        <c:ser>
          <c:idx val="0"/>
          <c:order val="0"/>
          <c:tx>
            <c:strRef>
              <c:f>Schedule!F4</c:f>
              <c:strCache>
                <c:ptCount val="1"/>
                <c:pt idx="0">
                  <c:v>Closing balance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Schedule!$A$5:$A$124</c:f>
              <c:strCach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strCache>
            </c:strRef>
          </c:cat>
          <c:val>
            <c:numRef>
              <c:f>Schedule!$F$5:$F$124</c:f>
              <c:numCache>
                <c:formatCode>\$#,##0;"($"#,##0\);\-</c:formatCode>
                <c:ptCount val="120"/>
                <c:pt idx="0">
                  <c:v>246553.012851</c:v>
                </c:pt>
                <c:pt idx="1">
                  <c:v>243084.482032</c:v>
                </c:pt>
                <c:pt idx="2">
                  <c:v>239594.272896</c:v>
                </c:pt>
                <c:pt idx="3">
                  <c:v>236082.249953</c:v>
                </c:pt>
                <c:pt idx="4">
                  <c:v>232548.276866</c:v>
                </c:pt>
                <c:pt idx="5">
                  <c:v>228992.216448</c:v>
                </c:pt>
                <c:pt idx="6">
                  <c:v>225413.930652</c:v>
                </c:pt>
                <c:pt idx="7">
                  <c:v>221813.28057</c:v>
                </c:pt>
                <c:pt idx="8">
                  <c:v>218190.126425</c:v>
                </c:pt>
                <c:pt idx="9">
                  <c:v>214544.327566</c:v>
                </c:pt>
                <c:pt idx="10">
                  <c:v>210875.742464</c:v>
                </c:pt>
                <c:pt idx="11">
                  <c:v>207184.228705</c:v>
                </c:pt>
                <c:pt idx="12">
                  <c:v>203469.642986</c:v>
                </c:pt>
                <c:pt idx="13">
                  <c:v>199731.841106</c:v>
                </c:pt>
                <c:pt idx="14">
                  <c:v>195970.677964</c:v>
                </c:pt>
                <c:pt idx="15">
                  <c:v>192186.007552</c:v>
                </c:pt>
                <c:pt idx="16">
                  <c:v>188377.68295</c:v>
                </c:pt>
                <c:pt idx="17">
                  <c:v>184545.55632</c:v>
                </c:pt>
                <c:pt idx="18">
                  <c:v>180689.478898</c:v>
                </c:pt>
                <c:pt idx="19">
                  <c:v>176809.300992</c:v>
                </c:pt>
                <c:pt idx="20">
                  <c:v>172904.871974</c:v>
                </c:pt>
                <c:pt idx="21">
                  <c:v>168976.040275</c:v>
                </c:pt>
                <c:pt idx="22">
                  <c:v>165022.653378</c:v>
                </c:pt>
                <c:pt idx="23">
                  <c:v>161044.557813</c:v>
                </c:pt>
                <c:pt idx="24">
                  <c:v>157041.59915</c:v>
                </c:pt>
                <c:pt idx="25">
                  <c:v>153013.621996</c:v>
                </c:pt>
                <c:pt idx="26">
                  <c:v>148960.469985</c:v>
                </c:pt>
                <c:pt idx="27">
                  <c:v>144881.985774</c:v>
                </c:pt>
                <c:pt idx="28">
                  <c:v>140778.011036</c:v>
                </c:pt>
                <c:pt idx="29">
                  <c:v>136648.386456</c:v>
                </c:pt>
                <c:pt idx="30">
                  <c:v>132492.951722</c:v>
                </c:pt>
                <c:pt idx="31">
                  <c:v>128311.545521</c:v>
                </c:pt>
                <c:pt idx="32">
                  <c:v>124104.005532</c:v>
                </c:pt>
                <c:pt idx="33">
                  <c:v>119870.168418</c:v>
                </c:pt>
                <c:pt idx="34">
                  <c:v>115609.869822</c:v>
                </c:pt>
                <c:pt idx="35">
                  <c:v>111322.944359</c:v>
                </c:pt>
                <c:pt idx="36">
                  <c:v>107009.225612</c:v>
                </c:pt>
                <c:pt idx="37">
                  <c:v>102668.546123</c:v>
                </c:pt>
                <c:pt idx="38">
                  <c:v>98300.737387</c:v>
                </c:pt>
                <c:pt idx="39">
                  <c:v>93905.629847</c:v>
                </c:pt>
                <c:pt idx="40">
                  <c:v>89483.052885</c:v>
                </c:pt>
                <c:pt idx="41">
                  <c:v>85032.834817</c:v>
                </c:pt>
                <c:pt idx="42">
                  <c:v>80554.802886</c:v>
                </c:pt>
                <c:pt idx="43">
                  <c:v>76048.783255</c:v>
                </c:pt>
                <c:pt idx="44">
                  <c:v>71514.601001</c:v>
                </c:pt>
                <c:pt idx="45">
                  <c:v>66952.080108</c:v>
                </c:pt>
                <c:pt idx="46">
                  <c:v>62361.04346</c:v>
                </c:pt>
                <c:pt idx="47">
                  <c:v>57741.312833</c:v>
                </c:pt>
                <c:pt idx="48">
                  <c:v>53092.708889</c:v>
                </c:pt>
                <c:pt idx="49">
                  <c:v>48415.051171</c:v>
                </c:pt>
                <c:pt idx="50">
                  <c:v>43708.158092</c:v>
                </c:pt>
                <c:pt idx="51">
                  <c:v>38971.846931</c:v>
                </c:pt>
                <c:pt idx="52">
                  <c:v>34205.933825</c:v>
                </c:pt>
                <c:pt idx="53">
                  <c:v>29410.233763</c:v>
                </c:pt>
                <c:pt idx="54">
                  <c:v>24584.560575</c:v>
                </c:pt>
                <c:pt idx="55">
                  <c:v>19728.72693</c:v>
                </c:pt>
                <c:pt idx="56">
                  <c:v>14842.544324</c:v>
                </c:pt>
                <c:pt idx="57">
                  <c:v>9925.823077</c:v>
                </c:pt>
                <c:pt idx="58">
                  <c:v>4978.372322</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numCache>
            </c:numRef>
          </c:val>
          <c:smooth val="1"/>
        </c:ser>
        <c:hiLowLines>
          <c:spPr>
            <a:ln w="0">
              <a:noFill/>
            </a:ln>
          </c:spPr>
        </c:hiLowLines>
        <c:marker val="0"/>
        <c:axId val="88271183"/>
        <c:axId val="4224518"/>
      </c:lineChart>
      <c:catAx>
        <c:axId val="8827118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24518"/>
        <c:crosses val="autoZero"/>
        <c:auto val="1"/>
        <c:lblAlgn val="ctr"/>
        <c:lblOffset val="100"/>
        <c:noMultiLvlLbl val="0"/>
      </c:catAx>
      <c:valAx>
        <c:axId val="42245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27118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160920</xdr:rowOff>
    </xdr:from>
    <xdr:to>
      <xdr:col>12</xdr:col>
      <xdr:colOff>255960</xdr:colOff>
      <xdr:row>17</xdr:row>
      <xdr:rowOff>182880</xdr:rowOff>
    </xdr:to>
    <xdr:graphicFrame>
      <xdr:nvGraphicFramePr>
        <xdr:cNvPr id="0" name="Chart 1"/>
        <xdr:cNvGraphicFramePr/>
      </xdr:nvGraphicFramePr>
      <xdr:xfrm>
        <a:off x="681408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6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t="s">
        <v>4</v>
      </c>
      <c r="C5" s="4" t="s">
        <v>5</v>
      </c>
    </row>
    <row r="6" customFormat="false" ht="15" hidden="false" customHeight="false" outlineLevel="0" collapsed="false">
      <c r="A6" s="5" t="s">
        <v>6</v>
      </c>
      <c r="B6" s="6" t="n">
        <v>250000</v>
      </c>
      <c r="C6" s="3" t="s">
        <v>7</v>
      </c>
    </row>
    <row r="7" customFormat="false" ht="15" hidden="false" customHeight="false" outlineLevel="0" collapsed="false">
      <c r="A7" s="5" t="s">
        <v>8</v>
      </c>
      <c r="B7" s="7" t="n">
        <v>0.075</v>
      </c>
      <c r="C7" s="3" t="s">
        <v>9</v>
      </c>
    </row>
    <row r="8" customFormat="false" ht="15" hidden="false" customHeight="false" outlineLevel="0" collapsed="false">
      <c r="A8" s="5" t="s">
        <v>10</v>
      </c>
      <c r="B8" s="8" t="n">
        <v>5</v>
      </c>
      <c r="C8" s="3" t="s">
        <v>11</v>
      </c>
    </row>
    <row r="9" customFormat="false" ht="15" hidden="false" customHeight="false" outlineLevel="0" collapsed="false">
      <c r="A9" s="5" t="s">
        <v>12</v>
      </c>
      <c r="B9" s="7" t="n">
        <v>0.01</v>
      </c>
      <c r="C9" s="3" t="s">
        <v>13</v>
      </c>
    </row>
    <row r="10" customFormat="false" ht="15" hidden="false" customHeight="false" outlineLevel="0" collapsed="false">
      <c r="A10" s="5" t="s">
        <v>14</v>
      </c>
      <c r="B10" s="7" t="n">
        <v>0.05</v>
      </c>
      <c r="C10" s="3" t="s">
        <v>15</v>
      </c>
    </row>
    <row r="11" customFormat="false" ht="15" hidden="false" customHeight="false" outlineLevel="0" collapsed="false">
      <c r="A11" s="5" t="s">
        <v>16</v>
      </c>
      <c r="B11" s="7" t="n">
        <v>0.006</v>
      </c>
      <c r="C11" s="3" t="s">
        <v>17</v>
      </c>
    </row>
    <row r="12" customFormat="false" ht="15" hidden="false" customHeight="false" outlineLevel="0" collapsed="false">
      <c r="A12" s="5" t="s">
        <v>18</v>
      </c>
      <c r="B12" s="7" t="n">
        <v>0.015</v>
      </c>
      <c r="C12" s="3" t="s">
        <v>19</v>
      </c>
    </row>
    <row r="13" customFormat="false" ht="15" hidden="false" customHeight="false" outlineLevel="0" collapsed="false">
      <c r="A13" s="5" t="s">
        <v>20</v>
      </c>
      <c r="B13" s="7" t="n">
        <v>0.45</v>
      </c>
      <c r="C13" s="3" t="s">
        <v>21</v>
      </c>
    </row>
    <row r="14" customFormat="false" ht="15" hidden="false" customHeight="false" outlineLevel="0" collapsed="false">
      <c r="A14" s="5" t="s">
        <v>22</v>
      </c>
      <c r="B14" s="7" t="n">
        <v>0.08</v>
      </c>
      <c r="C14" s="3" t="s">
        <v>23</v>
      </c>
    </row>
    <row r="15" customFormat="false" ht="15" hidden="false" customHeight="false" outlineLevel="0" collapsed="false">
      <c r="A15" s="5" t="s">
        <v>24</v>
      </c>
      <c r="B15" s="7" t="n">
        <v>0.12</v>
      </c>
      <c r="C15" s="3" t="s">
        <v>25</v>
      </c>
    </row>
    <row r="16" customFormat="false" ht="15" hidden="false" customHeight="false" outlineLevel="0" collapsed="false">
      <c r="A16" s="5" t="s">
        <v>26</v>
      </c>
      <c r="B16" s="7" t="n">
        <v>0.26</v>
      </c>
      <c r="C16" s="3" t="s">
        <v>27</v>
      </c>
    </row>
    <row r="18" customFormat="false" ht="15" hidden="false" customHeight="false" outlineLevel="0" collapsed="false">
      <c r="A18" s="9" t="s">
        <v>28</v>
      </c>
    </row>
    <row r="19" customFormat="false" ht="15" hidden="false" customHeight="false" outlineLevel="0" collapsed="false">
      <c r="A19" s="5" t="s">
        <v>29</v>
      </c>
      <c r="B19" s="10" t="n">
        <f aca="false">B8*12</f>
        <v>60</v>
      </c>
    </row>
    <row r="20" customFormat="false" ht="15" hidden="false" customHeight="false" outlineLevel="0" collapsed="false">
      <c r="A20" s="5" t="s">
        <v>30</v>
      </c>
      <c r="B20" s="11" t="n">
        <f aca="false">B7/12</f>
        <v>0.00625</v>
      </c>
    </row>
    <row r="21" customFormat="false" ht="15" hidden="false" customHeight="false" outlineLevel="0" collapsed="false">
      <c r="A21" s="5" t="s">
        <v>31</v>
      </c>
      <c r="B21" s="12" t="n">
        <f aca="false">PMT(B20,B19,-B6)</f>
        <v>5009.48714890594</v>
      </c>
    </row>
    <row r="22" customFormat="false" ht="15" hidden="false" customHeight="false" outlineLevel="0" collapsed="false">
      <c r="A22" s="5" t="s">
        <v>32</v>
      </c>
      <c r="B22" s="13" t="n">
        <f aca="false">B6*B9</f>
        <v>2500</v>
      </c>
    </row>
  </sheetData>
  <dataValidations count="1">
    <dataValidation allowBlank="false" error="Enter a whole number of years from 1 to 10" errorStyle="stop" operator="between" showDropDown="false" showErrorMessage="true" showInputMessage="false" sqref="B8"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2" min="2" style="0" width="16"/>
  </cols>
  <sheetData>
    <row r="1" customFormat="false" ht="17.35" hidden="false" customHeight="false" outlineLevel="0" collapsed="false">
      <c r="A1" s="1" t="s">
        <v>33</v>
      </c>
    </row>
    <row r="2" customFormat="false" ht="15" hidden="false" customHeight="false" outlineLevel="0" collapsed="false">
      <c r="A2" s="3" t="s">
        <v>34</v>
      </c>
    </row>
    <row r="4" customFormat="false" ht="15" hidden="false" customHeight="false" outlineLevel="0" collapsed="false">
      <c r="A4" s="4" t="s">
        <v>35</v>
      </c>
      <c r="B4" s="4" t="s">
        <v>4</v>
      </c>
    </row>
    <row r="5" customFormat="false" ht="15" hidden="false" customHeight="false" outlineLevel="0" collapsed="false">
      <c r="A5" s="5" t="s">
        <v>36</v>
      </c>
      <c r="B5" s="12" t="n">
        <f aca="false">Inputs!$B$21</f>
        <v>5009.48714890594</v>
      </c>
    </row>
    <row r="6" customFormat="false" ht="15" hidden="false" customHeight="false" outlineLevel="0" collapsed="false">
      <c r="A6" s="5" t="s">
        <v>37</v>
      </c>
      <c r="B6" s="13" t="n">
        <f aca="false">Schedule!D126</f>
        <v>50569.2289345</v>
      </c>
    </row>
    <row r="7" customFormat="false" ht="15" hidden="false" customHeight="false" outlineLevel="0" collapsed="false">
      <c r="A7" s="5" t="s">
        <v>38</v>
      </c>
      <c r="B7" s="13" t="n">
        <f aca="false">Schedule!C126</f>
        <v>300569.228934356</v>
      </c>
    </row>
    <row r="9" customFormat="false" ht="15" hidden="false" customHeight="false" outlineLevel="0" collapsed="false">
      <c r="A9" s="4" t="s">
        <v>39</v>
      </c>
      <c r="B9" s="4" t="s">
        <v>4</v>
      </c>
    </row>
    <row r="10" customFormat="false" ht="15" hidden="false" customHeight="false" outlineLevel="0" collapsed="false">
      <c r="A10" s="5" t="s">
        <v>40</v>
      </c>
      <c r="B10" s="13" t="n">
        <f aca="false">Schedule!D126</f>
        <v>50569.2289345</v>
      </c>
    </row>
    <row r="11" customFormat="false" ht="15" hidden="false" customHeight="false" outlineLevel="0" collapsed="false">
      <c r="A11" s="5" t="s">
        <v>41</v>
      </c>
      <c r="B11" s="13" t="n">
        <f aca="false">Inputs!$B$22</f>
        <v>2500</v>
      </c>
    </row>
    <row r="12" customFormat="false" ht="15" hidden="false" customHeight="false" outlineLevel="0" collapsed="false">
      <c r="A12" s="5" t="s">
        <v>42</v>
      </c>
      <c r="B12" s="13" t="n">
        <f aca="false">-Schedule!G126</f>
        <v>-33712.8192896667</v>
      </c>
    </row>
    <row r="13" customFormat="false" ht="15" hidden="false" customHeight="false" outlineLevel="0" collapsed="false">
      <c r="A13" s="5" t="s">
        <v>43</v>
      </c>
      <c r="B13" s="13" t="n">
        <f aca="false">-Schedule!H126</f>
        <v>-4045.53831476</v>
      </c>
    </row>
    <row r="14" customFormat="false" ht="15" hidden="false" customHeight="false" outlineLevel="0" collapsed="false">
      <c r="A14" s="5" t="s">
        <v>44</v>
      </c>
      <c r="B14" s="13" t="n">
        <f aca="false">-Schedule!I126</f>
        <v>-4551.230604105</v>
      </c>
    </row>
    <row r="15" customFormat="false" ht="15" hidden="false" customHeight="false" outlineLevel="0" collapsed="false">
      <c r="A15" s="14" t="s">
        <v>45</v>
      </c>
      <c r="B15" s="15" t="n">
        <f aca="false">SUM(B10:B14)</f>
        <v>10759.6407259683</v>
      </c>
    </row>
    <row r="16" customFormat="false" ht="15" hidden="false" customHeight="false" outlineLevel="0" collapsed="false">
      <c r="A16" s="5" t="s">
        <v>46</v>
      </c>
      <c r="B16" s="13" t="n">
        <f aca="false">-Schedule!K126</f>
        <v>-2797.50658875177</v>
      </c>
    </row>
    <row r="17" customFormat="false" ht="15" hidden="false" customHeight="false" outlineLevel="0" collapsed="false">
      <c r="A17" s="14" t="s">
        <v>47</v>
      </c>
      <c r="B17" s="15" t="n">
        <f aca="false">B15+B16</f>
        <v>7962.13413721656</v>
      </c>
    </row>
    <row r="19" customFormat="false" ht="15" hidden="false" customHeight="false" outlineLevel="0" collapsed="false">
      <c r="A19" s="4" t="s">
        <v>48</v>
      </c>
      <c r="B19" s="4" t="s">
        <v>4</v>
      </c>
    </row>
    <row r="20" customFormat="false" ht="15" hidden="false" customHeight="false" outlineLevel="0" collapsed="false">
      <c r="A20" s="5" t="s">
        <v>49</v>
      </c>
      <c r="B20" s="13" t="n">
        <f aca="false">SUM(Schedule!M5:M124)/12</f>
        <v>53940.5108634667</v>
      </c>
    </row>
    <row r="21" customFormat="false" ht="15" hidden="false" customHeight="false" outlineLevel="0" collapsed="false">
      <c r="A21" s="5" t="s">
        <v>50</v>
      </c>
      <c r="B21" s="16" t="n">
        <f aca="false">IF(B20=0,0,B17/B20)</f>
        <v>0.147609542619464</v>
      </c>
    </row>
    <row r="22" customFormat="false" ht="15" hidden="false" customHeight="false" outlineLevel="0" collapsed="false">
      <c r="A22" s="5" t="s">
        <v>51</v>
      </c>
      <c r="B22" s="16" t="n">
        <f aca="false">Inputs!$B$15</f>
        <v>0.12</v>
      </c>
    </row>
    <row r="23" customFormat="false" ht="15" hidden="false" customHeight="false" outlineLevel="0" collapsed="false">
      <c r="A23" s="5" t="s">
        <v>52</v>
      </c>
      <c r="B23" s="14" t="str">
        <f aca="false">IF(B21&gt;=B22,"Yes","No")</f>
        <v>Yes</v>
      </c>
    </row>
    <row r="24" customFormat="false" ht="15" hidden="false" customHeight="false" outlineLevel="0" collapsed="false">
      <c r="A24" s="5" t="s">
        <v>53</v>
      </c>
      <c r="B24" s="13" t="n">
        <f aca="false">B17-B22*B20</f>
        <v>1489.27283360056</v>
      </c>
    </row>
    <row r="25" customFormat="false" ht="15" hidden="false" customHeight="false" outlineLevel="0" collapsed="false">
      <c r="A25" s="5" t="s">
        <v>54</v>
      </c>
      <c r="B25" s="17" t="n">
        <f aca="false">-B14/Inputs!$B$6</f>
        <v>0.01820492241642</v>
      </c>
    </row>
    <row r="26" customFormat="false" ht="15" hidden="false" customHeight="false" outlineLevel="0" collapsed="false">
      <c r="A26" s="5" t="s">
        <v>55</v>
      </c>
      <c r="B26" s="17" t="n">
        <f aca="false">Inputs!$B$10+Inputs!$B$11+Inputs!$B$12*Inputs!$B$13</f>
        <v>0.06275</v>
      </c>
    </row>
    <row r="27" customFormat="false" ht="15" hidden="false" customHeight="false" outlineLevel="0" collapsed="false">
      <c r="A27" s="5" t="s">
        <v>56</v>
      </c>
      <c r="B27" s="17" t="n">
        <f aca="false">Inputs!$B$7-B26</f>
        <v>0.01225</v>
      </c>
    </row>
    <row r="28" customFormat="false" ht="15" hidden="false" customHeight="false" outlineLevel="0" collapsed="false">
      <c r="A28" s="5" t="s">
        <v>57</v>
      </c>
      <c r="B28" s="5" t="str">
        <f aca="false">IF(ABS(INDEX(Schedule!F5:F124,Inputs!$B$19))&lt;0.01,"OK","CHECK")</f>
        <v>OK</v>
      </c>
    </row>
    <row r="30" customFormat="false" ht="15" hidden="false" customHeight="false" outlineLevel="0" collapsed="false">
      <c r="A30" s="3"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3" min="2" style="0" width="14"/>
  </cols>
  <sheetData>
    <row r="1" customFormat="false" ht="17.35" hidden="false" customHeight="false" outlineLevel="0" collapsed="false">
      <c r="A1" s="1" t="s">
        <v>59</v>
      </c>
    </row>
    <row r="2" customFormat="false" ht="15" hidden="false" customHeight="false" outlineLevel="0" collapsed="false">
      <c r="A2" s="3" t="s">
        <v>60</v>
      </c>
    </row>
    <row r="4" customFormat="false" ht="30" hidden="false" customHeight="true" outlineLevel="0" collapsed="false">
      <c r="A4" s="4" t="s">
        <v>61</v>
      </c>
      <c r="B4" s="4" t="s">
        <v>62</v>
      </c>
      <c r="C4" s="4" t="s">
        <v>63</v>
      </c>
      <c r="D4" s="4" t="s">
        <v>64</v>
      </c>
      <c r="E4" s="4" t="s">
        <v>65</v>
      </c>
      <c r="F4" s="4" t="s">
        <v>66</v>
      </c>
      <c r="G4" s="4" t="s">
        <v>42</v>
      </c>
      <c r="H4" s="4" t="s">
        <v>43</v>
      </c>
      <c r="I4" s="4" t="s">
        <v>67</v>
      </c>
      <c r="J4" s="4" t="s">
        <v>45</v>
      </c>
      <c r="K4" s="4" t="s">
        <v>46</v>
      </c>
      <c r="L4" s="4" t="s">
        <v>47</v>
      </c>
      <c r="M4" s="4" t="s">
        <v>68</v>
      </c>
    </row>
    <row r="5" customFormat="false" ht="15" hidden="false" customHeight="false" outlineLevel="0" collapsed="false">
      <c r="A5" s="18" t="n">
        <v>1</v>
      </c>
      <c r="B5" s="19" t="n">
        <f aca="false">Inputs!$B$6</f>
        <v>250000</v>
      </c>
      <c r="C5" s="19" t="n">
        <f aca="false">IF(A5&lt;=Inputs!$B$19,Inputs!$B$21,0)</f>
        <v>5009.48714890594</v>
      </c>
      <c r="D5" s="19" t="n">
        <f aca="false">B5*Inputs!$B$20</f>
        <v>1562.5</v>
      </c>
      <c r="E5" s="19" t="n">
        <f aca="false">C5-D5</f>
        <v>3446.98714890594</v>
      </c>
      <c r="F5" s="19" t="n">
        <f aca="false">ROUND(B5-E5,6)</f>
        <v>246553.012851</v>
      </c>
      <c r="G5" s="19" t="n">
        <f aca="false">B5*Inputs!$B$10/12</f>
        <v>1041.66666666667</v>
      </c>
      <c r="H5" s="19" t="n">
        <f aca="false">B5*Inputs!$B$11/12</f>
        <v>125</v>
      </c>
      <c r="I5" s="19" t="n">
        <f aca="false">B5*Inputs!$B$12/12*Inputs!$B$13</f>
        <v>140.625</v>
      </c>
      <c r="J5" s="19" t="n">
        <f aca="false">D5-G5-H5-I5+IF(A5=1,Inputs!$B$22,0)</f>
        <v>2755.20833333333</v>
      </c>
      <c r="K5" s="19" t="n">
        <f aca="false">J5*Inputs!$B$16</f>
        <v>716.354166666667</v>
      </c>
      <c r="L5" s="19" t="n">
        <f aca="false">J5-K5</f>
        <v>2038.85416666667</v>
      </c>
      <c r="M5" s="19" t="n">
        <f aca="false">B5*Inputs!$B$14</f>
        <v>20000</v>
      </c>
    </row>
    <row r="6" customFormat="false" ht="15" hidden="false" customHeight="false" outlineLevel="0" collapsed="false">
      <c r="A6" s="18" t="n">
        <v>2</v>
      </c>
      <c r="B6" s="19" t="n">
        <f aca="false">F5</f>
        <v>246553.012851</v>
      </c>
      <c r="C6" s="19" t="n">
        <f aca="false">IF(A6&lt;=Inputs!$B$19,Inputs!$B$21,0)</f>
        <v>5009.48714890594</v>
      </c>
      <c r="D6" s="19" t="n">
        <f aca="false">B6*Inputs!$B$20</f>
        <v>1540.95633031875</v>
      </c>
      <c r="E6" s="19" t="n">
        <f aca="false">C6-D6</f>
        <v>3468.53081858719</v>
      </c>
      <c r="F6" s="19" t="n">
        <f aca="false">ROUND(B6-E6,6)</f>
        <v>243084.482032</v>
      </c>
      <c r="G6" s="19" t="n">
        <f aca="false">B6*Inputs!$B$10/12</f>
        <v>1027.3042202125</v>
      </c>
      <c r="H6" s="19" t="n">
        <f aca="false">B6*Inputs!$B$11/12</f>
        <v>123.2765064255</v>
      </c>
      <c r="I6" s="19" t="n">
        <f aca="false">B6*Inputs!$B$12/12*Inputs!$B$13</f>
        <v>138.686069728688</v>
      </c>
      <c r="J6" s="19" t="n">
        <f aca="false">D6-G6-H6-I6+IF(A6=1,Inputs!$B$22,0)</f>
        <v>251.689533952062</v>
      </c>
      <c r="K6" s="19" t="n">
        <f aca="false">J6*Inputs!$B$16</f>
        <v>65.4392788275362</v>
      </c>
      <c r="L6" s="19" t="n">
        <f aca="false">J6-K6</f>
        <v>186.250255124526</v>
      </c>
      <c r="M6" s="19" t="n">
        <f aca="false">B6*Inputs!$B$14</f>
        <v>19724.24102808</v>
      </c>
    </row>
    <row r="7" customFormat="false" ht="15" hidden="false" customHeight="false" outlineLevel="0" collapsed="false">
      <c r="A7" s="18" t="n">
        <v>3</v>
      </c>
      <c r="B7" s="19" t="n">
        <f aca="false">F6</f>
        <v>243084.482032</v>
      </c>
      <c r="C7" s="19" t="n">
        <f aca="false">IF(A7&lt;=Inputs!$B$19,Inputs!$B$21,0)</f>
        <v>5009.48714890594</v>
      </c>
      <c r="D7" s="19" t="n">
        <f aca="false">B7*Inputs!$B$20</f>
        <v>1519.2780127</v>
      </c>
      <c r="E7" s="19" t="n">
        <f aca="false">C7-D7</f>
        <v>3490.20913620594</v>
      </c>
      <c r="F7" s="19" t="n">
        <f aca="false">ROUND(B7-E7,6)</f>
        <v>239594.272896</v>
      </c>
      <c r="G7" s="19" t="n">
        <f aca="false">B7*Inputs!$B$10/12</f>
        <v>1012.85200846667</v>
      </c>
      <c r="H7" s="19" t="n">
        <f aca="false">B7*Inputs!$B$11/12</f>
        <v>121.542241016</v>
      </c>
      <c r="I7" s="19" t="n">
        <f aca="false">B7*Inputs!$B$12/12*Inputs!$B$13</f>
        <v>136.735021143</v>
      </c>
      <c r="J7" s="19" t="n">
        <f aca="false">D7-G7-H7-I7+IF(A7=1,Inputs!$B$22,0)</f>
        <v>248.148742074333</v>
      </c>
      <c r="K7" s="19" t="n">
        <f aca="false">J7*Inputs!$B$16</f>
        <v>64.5186729393266</v>
      </c>
      <c r="L7" s="19" t="n">
        <f aca="false">J7-K7</f>
        <v>183.630069135007</v>
      </c>
      <c r="M7" s="19" t="n">
        <f aca="false">B7*Inputs!$B$14</f>
        <v>19446.75856256</v>
      </c>
    </row>
    <row r="8" customFormat="false" ht="15" hidden="false" customHeight="false" outlineLevel="0" collapsed="false">
      <c r="A8" s="18" t="n">
        <v>4</v>
      </c>
      <c r="B8" s="19" t="n">
        <f aca="false">F7</f>
        <v>239594.272896</v>
      </c>
      <c r="C8" s="19" t="n">
        <f aca="false">IF(A8&lt;=Inputs!$B$19,Inputs!$B$21,0)</f>
        <v>5009.48714890594</v>
      </c>
      <c r="D8" s="19" t="n">
        <f aca="false">B8*Inputs!$B$20</f>
        <v>1497.4642056</v>
      </c>
      <c r="E8" s="19" t="n">
        <f aca="false">C8-D8</f>
        <v>3512.02294330594</v>
      </c>
      <c r="F8" s="19" t="n">
        <f aca="false">ROUND(B8-E8,6)</f>
        <v>236082.249953</v>
      </c>
      <c r="G8" s="19" t="n">
        <f aca="false">B8*Inputs!$B$10/12</f>
        <v>998.3094704</v>
      </c>
      <c r="H8" s="19" t="n">
        <f aca="false">B8*Inputs!$B$11/12</f>
        <v>119.797136448</v>
      </c>
      <c r="I8" s="19" t="n">
        <f aca="false">B8*Inputs!$B$12/12*Inputs!$B$13</f>
        <v>134.771778504</v>
      </c>
      <c r="J8" s="19" t="n">
        <f aca="false">D8-G8-H8-I8+IF(A8=1,Inputs!$B$22,0)</f>
        <v>244.585820248</v>
      </c>
      <c r="K8" s="19" t="n">
        <f aca="false">J8*Inputs!$B$16</f>
        <v>63.59231326448</v>
      </c>
      <c r="L8" s="19" t="n">
        <f aca="false">J8-K8</f>
        <v>180.99350698352</v>
      </c>
      <c r="M8" s="19" t="n">
        <f aca="false">B8*Inputs!$B$14</f>
        <v>19167.54183168</v>
      </c>
    </row>
    <row r="9" customFormat="false" ht="15" hidden="false" customHeight="false" outlineLevel="0" collapsed="false">
      <c r="A9" s="18" t="n">
        <v>5</v>
      </c>
      <c r="B9" s="19" t="n">
        <f aca="false">F8</f>
        <v>236082.249953</v>
      </c>
      <c r="C9" s="19" t="n">
        <f aca="false">IF(A9&lt;=Inputs!$B$19,Inputs!$B$21,0)</f>
        <v>5009.48714890594</v>
      </c>
      <c r="D9" s="19" t="n">
        <f aca="false">B9*Inputs!$B$20</f>
        <v>1475.51406220625</v>
      </c>
      <c r="E9" s="19" t="n">
        <f aca="false">C9-D9</f>
        <v>3533.97308669969</v>
      </c>
      <c r="F9" s="19" t="n">
        <f aca="false">ROUND(B9-E9,6)</f>
        <v>232548.276866</v>
      </c>
      <c r="G9" s="19" t="n">
        <f aca="false">B9*Inputs!$B$10/12</f>
        <v>983.676041470833</v>
      </c>
      <c r="H9" s="19" t="n">
        <f aca="false">B9*Inputs!$B$11/12</f>
        <v>118.0411249765</v>
      </c>
      <c r="I9" s="19" t="n">
        <f aca="false">B9*Inputs!$B$12/12*Inputs!$B$13</f>
        <v>132.796265598562</v>
      </c>
      <c r="J9" s="19" t="n">
        <f aca="false">D9-G9-H9-I9+IF(A9=1,Inputs!$B$22,0)</f>
        <v>241.000630160354</v>
      </c>
      <c r="K9" s="19" t="n">
        <f aca="false">J9*Inputs!$B$16</f>
        <v>62.660163841692</v>
      </c>
      <c r="L9" s="19" t="n">
        <f aca="false">J9-K9</f>
        <v>178.340466318662</v>
      </c>
      <c r="M9" s="19" t="n">
        <f aca="false">B9*Inputs!$B$14</f>
        <v>18886.57999624</v>
      </c>
    </row>
    <row r="10" customFormat="false" ht="15" hidden="false" customHeight="false" outlineLevel="0" collapsed="false">
      <c r="A10" s="18" t="n">
        <v>6</v>
      </c>
      <c r="B10" s="19" t="n">
        <f aca="false">F9</f>
        <v>232548.276866</v>
      </c>
      <c r="C10" s="19" t="n">
        <f aca="false">IF(A10&lt;=Inputs!$B$19,Inputs!$B$21,0)</f>
        <v>5009.48714890594</v>
      </c>
      <c r="D10" s="19" t="n">
        <f aca="false">B10*Inputs!$B$20</f>
        <v>1453.4267304125</v>
      </c>
      <c r="E10" s="19" t="n">
        <f aca="false">C10-D10</f>
        <v>3556.06041849344</v>
      </c>
      <c r="F10" s="19" t="n">
        <f aca="false">ROUND(B10-E10,6)</f>
        <v>228992.216448</v>
      </c>
      <c r="G10" s="19" t="n">
        <f aca="false">B10*Inputs!$B$10/12</f>
        <v>968.951153608333</v>
      </c>
      <c r="H10" s="19" t="n">
        <f aca="false">B10*Inputs!$B$11/12</f>
        <v>116.274138433</v>
      </c>
      <c r="I10" s="19" t="n">
        <f aca="false">B10*Inputs!$B$12/12*Inputs!$B$13</f>
        <v>130.808405737125</v>
      </c>
      <c r="J10" s="19" t="n">
        <f aca="false">D10-G10-H10-I10+IF(A10=1,Inputs!$B$22,0)</f>
        <v>237.393032634042</v>
      </c>
      <c r="K10" s="19" t="n">
        <f aca="false">J10*Inputs!$B$16</f>
        <v>61.7221884848508</v>
      </c>
      <c r="L10" s="19" t="n">
        <f aca="false">J10-K10</f>
        <v>175.670844149191</v>
      </c>
      <c r="M10" s="19" t="n">
        <f aca="false">B10*Inputs!$B$14</f>
        <v>18603.86214928</v>
      </c>
    </row>
    <row r="11" customFormat="false" ht="15" hidden="false" customHeight="false" outlineLevel="0" collapsed="false">
      <c r="A11" s="18" t="n">
        <v>7</v>
      </c>
      <c r="B11" s="19" t="n">
        <f aca="false">F10</f>
        <v>228992.216448</v>
      </c>
      <c r="C11" s="19" t="n">
        <f aca="false">IF(A11&lt;=Inputs!$B$19,Inputs!$B$21,0)</f>
        <v>5009.48714890594</v>
      </c>
      <c r="D11" s="19" t="n">
        <f aca="false">B11*Inputs!$B$20</f>
        <v>1431.2013528</v>
      </c>
      <c r="E11" s="19" t="n">
        <f aca="false">C11-D11</f>
        <v>3578.28579610594</v>
      </c>
      <c r="F11" s="19" t="n">
        <f aca="false">ROUND(B11-E11,6)</f>
        <v>225413.930652</v>
      </c>
      <c r="G11" s="19" t="n">
        <f aca="false">B11*Inputs!$B$10/12</f>
        <v>954.1342352</v>
      </c>
      <c r="H11" s="19" t="n">
        <f aca="false">B11*Inputs!$B$11/12</f>
        <v>114.496108224</v>
      </c>
      <c r="I11" s="19" t="n">
        <f aca="false">B11*Inputs!$B$12/12*Inputs!$B$13</f>
        <v>128.808121752</v>
      </c>
      <c r="J11" s="19" t="n">
        <f aca="false">D11-G11-H11-I11+IF(A11=1,Inputs!$B$22,0)</f>
        <v>233.762887624</v>
      </c>
      <c r="K11" s="19" t="n">
        <f aca="false">J11*Inputs!$B$16</f>
        <v>60.7783507822399</v>
      </c>
      <c r="L11" s="19" t="n">
        <f aca="false">J11-K11</f>
        <v>172.98453684176</v>
      </c>
      <c r="M11" s="19" t="n">
        <f aca="false">B11*Inputs!$B$14</f>
        <v>18319.37731584</v>
      </c>
    </row>
    <row r="12" customFormat="false" ht="15" hidden="false" customHeight="false" outlineLevel="0" collapsed="false">
      <c r="A12" s="18" t="n">
        <v>8</v>
      </c>
      <c r="B12" s="19" t="n">
        <f aca="false">F11</f>
        <v>225413.930652</v>
      </c>
      <c r="C12" s="19" t="n">
        <f aca="false">IF(A12&lt;=Inputs!$B$19,Inputs!$B$21,0)</f>
        <v>5009.48714890594</v>
      </c>
      <c r="D12" s="19" t="n">
        <f aca="false">B12*Inputs!$B$20</f>
        <v>1408.837066575</v>
      </c>
      <c r="E12" s="19" t="n">
        <f aca="false">C12-D12</f>
        <v>3600.65008233094</v>
      </c>
      <c r="F12" s="19" t="n">
        <f aca="false">ROUND(B12-E12,6)</f>
        <v>221813.28057</v>
      </c>
      <c r="G12" s="19" t="n">
        <f aca="false">B12*Inputs!$B$10/12</f>
        <v>939.22471105</v>
      </c>
      <c r="H12" s="19" t="n">
        <f aca="false">B12*Inputs!$B$11/12</f>
        <v>112.706965326</v>
      </c>
      <c r="I12" s="19" t="n">
        <f aca="false">B12*Inputs!$B$12/12*Inputs!$B$13</f>
        <v>126.79533599175</v>
      </c>
      <c r="J12" s="19" t="n">
        <f aca="false">D12-G12-H12-I12+IF(A12=1,Inputs!$B$22,0)</f>
        <v>230.11005420725</v>
      </c>
      <c r="K12" s="19" t="n">
        <f aca="false">J12*Inputs!$B$16</f>
        <v>59.8286140938849</v>
      </c>
      <c r="L12" s="19" t="n">
        <f aca="false">J12-K12</f>
        <v>170.281440113365</v>
      </c>
      <c r="M12" s="19" t="n">
        <f aca="false">B12*Inputs!$B$14</f>
        <v>18033.11445216</v>
      </c>
    </row>
    <row r="13" customFormat="false" ht="15" hidden="false" customHeight="false" outlineLevel="0" collapsed="false">
      <c r="A13" s="18" t="n">
        <v>9</v>
      </c>
      <c r="B13" s="19" t="n">
        <f aca="false">F12</f>
        <v>221813.28057</v>
      </c>
      <c r="C13" s="19" t="n">
        <f aca="false">IF(A13&lt;=Inputs!$B$19,Inputs!$B$21,0)</f>
        <v>5009.48714890594</v>
      </c>
      <c r="D13" s="19" t="n">
        <f aca="false">B13*Inputs!$B$20</f>
        <v>1386.3330035625</v>
      </c>
      <c r="E13" s="19" t="n">
        <f aca="false">C13-D13</f>
        <v>3623.15414534344</v>
      </c>
      <c r="F13" s="19" t="n">
        <f aca="false">ROUND(B13-E13,6)</f>
        <v>218190.126425</v>
      </c>
      <c r="G13" s="19" t="n">
        <f aca="false">B13*Inputs!$B$10/12</f>
        <v>924.222002375</v>
      </c>
      <c r="H13" s="19" t="n">
        <f aca="false">B13*Inputs!$B$11/12</f>
        <v>110.906640285</v>
      </c>
      <c r="I13" s="19" t="n">
        <f aca="false">B13*Inputs!$B$12/12*Inputs!$B$13</f>
        <v>124.769970320625</v>
      </c>
      <c r="J13" s="19" t="n">
        <f aca="false">D13-G13-H13-I13+IF(A13=1,Inputs!$B$22,0)</f>
        <v>226.434390581875</v>
      </c>
      <c r="K13" s="19" t="n">
        <f aca="false">J13*Inputs!$B$16</f>
        <v>58.8729415512875</v>
      </c>
      <c r="L13" s="19" t="n">
        <f aca="false">J13-K13</f>
        <v>167.561449030587</v>
      </c>
      <c r="M13" s="19" t="n">
        <f aca="false">B13*Inputs!$B$14</f>
        <v>17745.0624456</v>
      </c>
    </row>
    <row r="14" customFormat="false" ht="15" hidden="false" customHeight="false" outlineLevel="0" collapsed="false">
      <c r="A14" s="18" t="n">
        <v>10</v>
      </c>
      <c r="B14" s="19" t="n">
        <f aca="false">F13</f>
        <v>218190.126425</v>
      </c>
      <c r="C14" s="19" t="n">
        <f aca="false">IF(A14&lt;=Inputs!$B$19,Inputs!$B$21,0)</f>
        <v>5009.48714890594</v>
      </c>
      <c r="D14" s="19" t="n">
        <f aca="false">B14*Inputs!$B$20</f>
        <v>1363.68829015625</v>
      </c>
      <c r="E14" s="19" t="n">
        <f aca="false">C14-D14</f>
        <v>3645.79885874969</v>
      </c>
      <c r="F14" s="19" t="n">
        <f aca="false">ROUND(B14-E14,6)</f>
        <v>214544.327566</v>
      </c>
      <c r="G14" s="19" t="n">
        <f aca="false">B14*Inputs!$B$10/12</f>
        <v>909.125526770833</v>
      </c>
      <c r="H14" s="19" t="n">
        <f aca="false">B14*Inputs!$B$11/12</f>
        <v>109.0950632125</v>
      </c>
      <c r="I14" s="19" t="n">
        <f aca="false">B14*Inputs!$B$12/12*Inputs!$B$13</f>
        <v>122.731946114062</v>
      </c>
      <c r="J14" s="19" t="n">
        <f aca="false">D14-G14-H14-I14+IF(A14=1,Inputs!$B$22,0)</f>
        <v>222.735754058854</v>
      </c>
      <c r="K14" s="19" t="n">
        <f aca="false">J14*Inputs!$B$16</f>
        <v>57.911296055302</v>
      </c>
      <c r="L14" s="19" t="n">
        <f aca="false">J14-K14</f>
        <v>164.824458003552</v>
      </c>
      <c r="M14" s="19" t="n">
        <f aca="false">B14*Inputs!$B$14</f>
        <v>17455.210114</v>
      </c>
    </row>
    <row r="15" customFormat="false" ht="15" hidden="false" customHeight="false" outlineLevel="0" collapsed="false">
      <c r="A15" s="18" t="n">
        <v>11</v>
      </c>
      <c r="B15" s="19" t="n">
        <f aca="false">F14</f>
        <v>214544.327566</v>
      </c>
      <c r="C15" s="19" t="n">
        <f aca="false">IF(A15&lt;=Inputs!$B$19,Inputs!$B$21,0)</f>
        <v>5009.48714890594</v>
      </c>
      <c r="D15" s="19" t="n">
        <f aca="false">B15*Inputs!$B$20</f>
        <v>1340.9020472875</v>
      </c>
      <c r="E15" s="19" t="n">
        <f aca="false">C15-D15</f>
        <v>3668.58510161844</v>
      </c>
      <c r="F15" s="19" t="n">
        <f aca="false">ROUND(B15-E15,6)</f>
        <v>210875.742464</v>
      </c>
      <c r="G15" s="19" t="n">
        <f aca="false">B15*Inputs!$B$10/12</f>
        <v>893.934698191667</v>
      </c>
      <c r="H15" s="19" t="n">
        <f aca="false">B15*Inputs!$B$11/12</f>
        <v>107.272163783</v>
      </c>
      <c r="I15" s="19" t="n">
        <f aca="false">B15*Inputs!$B$12/12*Inputs!$B$13</f>
        <v>120.681184255875</v>
      </c>
      <c r="J15" s="19" t="n">
        <f aca="false">D15-G15-H15-I15+IF(A15=1,Inputs!$B$22,0)</f>
        <v>219.014001056958</v>
      </c>
      <c r="K15" s="19" t="n">
        <f aca="false">J15*Inputs!$B$16</f>
        <v>56.9436402748092</v>
      </c>
      <c r="L15" s="19" t="n">
        <f aca="false">J15-K15</f>
        <v>162.070360782149</v>
      </c>
      <c r="M15" s="19" t="n">
        <f aca="false">B15*Inputs!$B$14</f>
        <v>17163.54620528</v>
      </c>
    </row>
    <row r="16" customFormat="false" ht="15" hidden="false" customHeight="false" outlineLevel="0" collapsed="false">
      <c r="A16" s="18" t="n">
        <v>12</v>
      </c>
      <c r="B16" s="19" t="n">
        <f aca="false">F15</f>
        <v>210875.742464</v>
      </c>
      <c r="C16" s="19" t="n">
        <f aca="false">IF(A16&lt;=Inputs!$B$19,Inputs!$B$21,0)</f>
        <v>5009.48714890594</v>
      </c>
      <c r="D16" s="19" t="n">
        <f aca="false">B16*Inputs!$B$20</f>
        <v>1317.9733904</v>
      </c>
      <c r="E16" s="19" t="n">
        <f aca="false">C16-D16</f>
        <v>3691.51375850594</v>
      </c>
      <c r="F16" s="19" t="n">
        <f aca="false">ROUND(B16-E16,6)</f>
        <v>207184.228705</v>
      </c>
      <c r="G16" s="19" t="n">
        <f aca="false">B16*Inputs!$B$10/12</f>
        <v>878.648926933333</v>
      </c>
      <c r="H16" s="19" t="n">
        <f aca="false">B16*Inputs!$B$11/12</f>
        <v>105.437871232</v>
      </c>
      <c r="I16" s="19" t="n">
        <f aca="false">B16*Inputs!$B$12/12*Inputs!$B$13</f>
        <v>118.617605136</v>
      </c>
      <c r="J16" s="19" t="n">
        <f aca="false">D16-G16-H16-I16+IF(A16=1,Inputs!$B$22,0)</f>
        <v>215.268987098667</v>
      </c>
      <c r="K16" s="19" t="n">
        <f aca="false">J16*Inputs!$B$16</f>
        <v>55.9699366456533</v>
      </c>
      <c r="L16" s="19" t="n">
        <f aca="false">J16-K16</f>
        <v>159.299050453013</v>
      </c>
      <c r="M16" s="19" t="n">
        <f aca="false">B16*Inputs!$B$14</f>
        <v>16870.05939712</v>
      </c>
    </row>
    <row r="17" customFormat="false" ht="15" hidden="false" customHeight="false" outlineLevel="0" collapsed="false">
      <c r="A17" s="18" t="n">
        <v>13</v>
      </c>
      <c r="B17" s="19" t="n">
        <f aca="false">F16</f>
        <v>207184.228705</v>
      </c>
      <c r="C17" s="19" t="n">
        <f aca="false">IF(A17&lt;=Inputs!$B$19,Inputs!$B$21,0)</f>
        <v>5009.48714890594</v>
      </c>
      <c r="D17" s="19" t="n">
        <f aca="false">B17*Inputs!$B$20</f>
        <v>1294.90142940625</v>
      </c>
      <c r="E17" s="19" t="n">
        <f aca="false">C17-D17</f>
        <v>3714.58571949969</v>
      </c>
      <c r="F17" s="19" t="n">
        <f aca="false">ROUND(B17-E17,6)</f>
        <v>203469.642986</v>
      </c>
      <c r="G17" s="19" t="n">
        <f aca="false">B17*Inputs!$B$10/12</f>
        <v>863.267619604167</v>
      </c>
      <c r="H17" s="19" t="n">
        <f aca="false">B17*Inputs!$B$11/12</f>
        <v>103.5921143525</v>
      </c>
      <c r="I17" s="19" t="n">
        <f aca="false">B17*Inputs!$B$12/12*Inputs!$B$13</f>
        <v>116.541128646563</v>
      </c>
      <c r="J17" s="19" t="n">
        <f aca="false">D17-G17-H17-I17+IF(A17=1,Inputs!$B$22,0)</f>
        <v>211.500566803021</v>
      </c>
      <c r="K17" s="19" t="n">
        <f aca="false">J17*Inputs!$B$16</f>
        <v>54.9901473687854</v>
      </c>
      <c r="L17" s="19" t="n">
        <f aca="false">J17-K17</f>
        <v>156.510419434235</v>
      </c>
      <c r="M17" s="19" t="n">
        <f aca="false">B17*Inputs!$B$14</f>
        <v>16574.7382964</v>
      </c>
    </row>
    <row r="18" customFormat="false" ht="15" hidden="false" customHeight="false" outlineLevel="0" collapsed="false">
      <c r="A18" s="18" t="n">
        <v>14</v>
      </c>
      <c r="B18" s="19" t="n">
        <f aca="false">F17</f>
        <v>203469.642986</v>
      </c>
      <c r="C18" s="19" t="n">
        <f aca="false">IF(A18&lt;=Inputs!$B$19,Inputs!$B$21,0)</f>
        <v>5009.48714890594</v>
      </c>
      <c r="D18" s="19" t="n">
        <f aca="false">B18*Inputs!$B$20</f>
        <v>1271.6852686625</v>
      </c>
      <c r="E18" s="19" t="n">
        <f aca="false">C18-D18</f>
        <v>3737.80188024344</v>
      </c>
      <c r="F18" s="19" t="n">
        <f aca="false">ROUND(B18-E18,6)</f>
        <v>199731.841106</v>
      </c>
      <c r="G18" s="19" t="n">
        <f aca="false">B18*Inputs!$B$10/12</f>
        <v>847.790179108333</v>
      </c>
      <c r="H18" s="19" t="n">
        <f aca="false">B18*Inputs!$B$11/12</f>
        <v>101.734821493</v>
      </c>
      <c r="I18" s="19" t="n">
        <f aca="false">B18*Inputs!$B$12/12*Inputs!$B$13</f>
        <v>114.451674179625</v>
      </c>
      <c r="J18" s="19" t="n">
        <f aca="false">D18-G18-H18-I18+IF(A18=1,Inputs!$B$22,0)</f>
        <v>207.708593881542</v>
      </c>
      <c r="K18" s="19" t="n">
        <f aca="false">J18*Inputs!$B$16</f>
        <v>54.0042344092008</v>
      </c>
      <c r="L18" s="19" t="n">
        <f aca="false">J18-K18</f>
        <v>153.704359472341</v>
      </c>
      <c r="M18" s="19" t="n">
        <f aca="false">B18*Inputs!$B$14</f>
        <v>16277.57143888</v>
      </c>
    </row>
    <row r="19" customFormat="false" ht="15" hidden="false" customHeight="false" outlineLevel="0" collapsed="false">
      <c r="A19" s="18" t="n">
        <v>15</v>
      </c>
      <c r="B19" s="19" t="n">
        <f aca="false">F18</f>
        <v>199731.841106</v>
      </c>
      <c r="C19" s="19" t="n">
        <f aca="false">IF(A19&lt;=Inputs!$B$19,Inputs!$B$21,0)</f>
        <v>5009.48714890594</v>
      </c>
      <c r="D19" s="19" t="n">
        <f aca="false">B19*Inputs!$B$20</f>
        <v>1248.3240069125</v>
      </c>
      <c r="E19" s="19" t="n">
        <f aca="false">C19-D19</f>
        <v>3761.16314199344</v>
      </c>
      <c r="F19" s="19" t="n">
        <f aca="false">ROUND(B19-E19,6)</f>
        <v>195970.677964</v>
      </c>
      <c r="G19" s="19" t="n">
        <f aca="false">B19*Inputs!$B$10/12</f>
        <v>832.216004608334</v>
      </c>
      <c r="H19" s="19" t="n">
        <f aca="false">B19*Inputs!$B$11/12</f>
        <v>99.865920553</v>
      </c>
      <c r="I19" s="19" t="n">
        <f aca="false">B19*Inputs!$B$12/12*Inputs!$B$13</f>
        <v>112.349160622125</v>
      </c>
      <c r="J19" s="19" t="n">
        <f aca="false">D19-G19-H19-I19+IF(A19=1,Inputs!$B$22,0)</f>
        <v>203.892921129041</v>
      </c>
      <c r="K19" s="19" t="n">
        <f aca="false">J19*Inputs!$B$16</f>
        <v>53.0121594935508</v>
      </c>
      <c r="L19" s="19" t="n">
        <f aca="false">J19-K19</f>
        <v>150.880761635491</v>
      </c>
      <c r="M19" s="19" t="n">
        <f aca="false">B19*Inputs!$B$14</f>
        <v>15978.54728848</v>
      </c>
    </row>
    <row r="20" customFormat="false" ht="15" hidden="false" customHeight="false" outlineLevel="0" collapsed="false">
      <c r="A20" s="18" t="n">
        <v>16</v>
      </c>
      <c r="B20" s="19" t="n">
        <f aca="false">F19</f>
        <v>195970.677964</v>
      </c>
      <c r="C20" s="19" t="n">
        <f aca="false">IF(A20&lt;=Inputs!$B$19,Inputs!$B$21,0)</f>
        <v>5009.48714890594</v>
      </c>
      <c r="D20" s="19" t="n">
        <f aca="false">B20*Inputs!$B$20</f>
        <v>1224.816737275</v>
      </c>
      <c r="E20" s="19" t="n">
        <f aca="false">C20-D20</f>
        <v>3784.67041163094</v>
      </c>
      <c r="F20" s="19" t="n">
        <f aca="false">ROUND(B20-E20,6)</f>
        <v>192186.007552</v>
      </c>
      <c r="G20" s="19" t="n">
        <f aca="false">B20*Inputs!$B$10/12</f>
        <v>816.544491516667</v>
      </c>
      <c r="H20" s="19" t="n">
        <f aca="false">B20*Inputs!$B$11/12</f>
        <v>97.985338982</v>
      </c>
      <c r="I20" s="19" t="n">
        <f aca="false">B20*Inputs!$B$12/12*Inputs!$B$13</f>
        <v>110.23350635475</v>
      </c>
      <c r="J20" s="19" t="n">
        <f aca="false">D20-G20-H20-I20+IF(A20=1,Inputs!$B$22,0)</f>
        <v>200.053400421583</v>
      </c>
      <c r="K20" s="19" t="n">
        <f aca="false">J20*Inputs!$B$16</f>
        <v>52.0138841096116</v>
      </c>
      <c r="L20" s="19" t="n">
        <f aca="false">J20-K20</f>
        <v>148.039516311972</v>
      </c>
      <c r="M20" s="19" t="n">
        <f aca="false">B20*Inputs!$B$14</f>
        <v>15677.65423712</v>
      </c>
    </row>
    <row r="21" customFormat="false" ht="15" hidden="false" customHeight="false" outlineLevel="0" collapsed="false">
      <c r="A21" s="18" t="n">
        <v>17</v>
      </c>
      <c r="B21" s="19" t="n">
        <f aca="false">F20</f>
        <v>192186.007552</v>
      </c>
      <c r="C21" s="19" t="n">
        <f aca="false">IF(A21&lt;=Inputs!$B$19,Inputs!$B$21,0)</f>
        <v>5009.48714890594</v>
      </c>
      <c r="D21" s="19" t="n">
        <f aca="false">B21*Inputs!$B$20</f>
        <v>1201.1625472</v>
      </c>
      <c r="E21" s="19" t="n">
        <f aca="false">C21-D21</f>
        <v>3808.32460170594</v>
      </c>
      <c r="F21" s="19" t="n">
        <f aca="false">ROUND(B21-E21,6)</f>
        <v>188377.68295</v>
      </c>
      <c r="G21" s="19" t="n">
        <f aca="false">B21*Inputs!$B$10/12</f>
        <v>800.775031466667</v>
      </c>
      <c r="H21" s="19" t="n">
        <f aca="false">B21*Inputs!$B$11/12</f>
        <v>96.093003776</v>
      </c>
      <c r="I21" s="19" t="n">
        <f aca="false">B21*Inputs!$B$12/12*Inputs!$B$13</f>
        <v>108.104629248</v>
      </c>
      <c r="J21" s="19" t="n">
        <f aca="false">D21-G21-H21-I21+IF(A21=1,Inputs!$B$22,0)</f>
        <v>196.189882709333</v>
      </c>
      <c r="K21" s="19" t="n">
        <f aca="false">J21*Inputs!$B$16</f>
        <v>51.0093695044266</v>
      </c>
      <c r="L21" s="19" t="n">
        <f aca="false">J21-K21</f>
        <v>145.180513204907</v>
      </c>
      <c r="M21" s="19" t="n">
        <f aca="false">B21*Inputs!$B$14</f>
        <v>15374.88060416</v>
      </c>
    </row>
    <row r="22" customFormat="false" ht="15" hidden="false" customHeight="false" outlineLevel="0" collapsed="false">
      <c r="A22" s="18" t="n">
        <v>18</v>
      </c>
      <c r="B22" s="19" t="n">
        <f aca="false">F21</f>
        <v>188377.68295</v>
      </c>
      <c r="C22" s="19" t="n">
        <f aca="false">IF(A22&lt;=Inputs!$B$19,Inputs!$B$21,0)</f>
        <v>5009.48714890594</v>
      </c>
      <c r="D22" s="19" t="n">
        <f aca="false">B22*Inputs!$B$20</f>
        <v>1177.3605184375</v>
      </c>
      <c r="E22" s="19" t="n">
        <f aca="false">C22-D22</f>
        <v>3832.12663046844</v>
      </c>
      <c r="F22" s="19" t="n">
        <f aca="false">ROUND(B22-E22,6)</f>
        <v>184545.55632</v>
      </c>
      <c r="G22" s="19" t="n">
        <f aca="false">B22*Inputs!$B$10/12</f>
        <v>784.907012291667</v>
      </c>
      <c r="H22" s="19" t="n">
        <f aca="false">B22*Inputs!$B$11/12</f>
        <v>94.188841475</v>
      </c>
      <c r="I22" s="19" t="n">
        <f aca="false">B22*Inputs!$B$12/12*Inputs!$B$13</f>
        <v>105.962446659375</v>
      </c>
      <c r="J22" s="19" t="n">
        <f aca="false">D22-G22-H22-I22+IF(A22=1,Inputs!$B$22,0)</f>
        <v>192.302218011458</v>
      </c>
      <c r="K22" s="19" t="n">
        <f aca="false">J22*Inputs!$B$16</f>
        <v>49.9985766829792</v>
      </c>
      <c r="L22" s="19" t="n">
        <f aca="false">J22-K22</f>
        <v>142.303641328479</v>
      </c>
      <c r="M22" s="19" t="n">
        <f aca="false">B22*Inputs!$B$14</f>
        <v>15070.214636</v>
      </c>
    </row>
    <row r="23" customFormat="false" ht="15" hidden="false" customHeight="false" outlineLevel="0" collapsed="false">
      <c r="A23" s="18" t="n">
        <v>19</v>
      </c>
      <c r="B23" s="19" t="n">
        <f aca="false">F22</f>
        <v>184545.55632</v>
      </c>
      <c r="C23" s="19" t="n">
        <f aca="false">IF(A23&lt;=Inputs!$B$19,Inputs!$B$21,0)</f>
        <v>5009.48714890594</v>
      </c>
      <c r="D23" s="19" t="n">
        <f aca="false">B23*Inputs!$B$20</f>
        <v>1153.409727</v>
      </c>
      <c r="E23" s="19" t="n">
        <f aca="false">C23-D23</f>
        <v>3856.07742190594</v>
      </c>
      <c r="F23" s="19" t="n">
        <f aca="false">ROUND(B23-E23,6)</f>
        <v>180689.478898</v>
      </c>
      <c r="G23" s="19" t="n">
        <f aca="false">B23*Inputs!$B$10/12</f>
        <v>768.939818</v>
      </c>
      <c r="H23" s="19" t="n">
        <f aca="false">B23*Inputs!$B$11/12</f>
        <v>92.27277816</v>
      </c>
      <c r="I23" s="19" t="n">
        <f aca="false">B23*Inputs!$B$12/12*Inputs!$B$13</f>
        <v>103.80687543</v>
      </c>
      <c r="J23" s="19" t="n">
        <f aca="false">D23-G23-H23-I23+IF(A23=1,Inputs!$B$22,0)</f>
        <v>188.39025541</v>
      </c>
      <c r="K23" s="19" t="n">
        <f aca="false">J23*Inputs!$B$16</f>
        <v>48.9814664066</v>
      </c>
      <c r="L23" s="19" t="n">
        <f aca="false">J23-K23</f>
        <v>139.4087890034</v>
      </c>
      <c r="M23" s="19" t="n">
        <f aca="false">B23*Inputs!$B$14</f>
        <v>14763.6445056</v>
      </c>
    </row>
    <row r="24" customFormat="false" ht="15" hidden="false" customHeight="false" outlineLevel="0" collapsed="false">
      <c r="A24" s="18" t="n">
        <v>20</v>
      </c>
      <c r="B24" s="19" t="n">
        <f aca="false">F23</f>
        <v>180689.478898</v>
      </c>
      <c r="C24" s="19" t="n">
        <f aca="false">IF(A24&lt;=Inputs!$B$19,Inputs!$B$21,0)</f>
        <v>5009.48714890594</v>
      </c>
      <c r="D24" s="19" t="n">
        <f aca="false">B24*Inputs!$B$20</f>
        <v>1129.3092431125</v>
      </c>
      <c r="E24" s="19" t="n">
        <f aca="false">C24-D24</f>
        <v>3880.17790579344</v>
      </c>
      <c r="F24" s="19" t="n">
        <f aca="false">ROUND(B24-E24,6)</f>
        <v>176809.300992</v>
      </c>
      <c r="G24" s="19" t="n">
        <f aca="false">B24*Inputs!$B$10/12</f>
        <v>752.872828741667</v>
      </c>
      <c r="H24" s="19" t="n">
        <f aca="false">B24*Inputs!$B$11/12</f>
        <v>90.344739449</v>
      </c>
      <c r="I24" s="19" t="n">
        <f aca="false">B24*Inputs!$B$12/12*Inputs!$B$13</f>
        <v>101.637831880125</v>
      </c>
      <c r="J24" s="19" t="n">
        <f aca="false">D24-G24-H24-I24+IF(A24=1,Inputs!$B$22,0)</f>
        <v>184.453843041708</v>
      </c>
      <c r="K24" s="19" t="n">
        <f aca="false">J24*Inputs!$B$16</f>
        <v>47.9579991908441</v>
      </c>
      <c r="L24" s="19" t="n">
        <f aca="false">J24-K24</f>
        <v>136.495843850864</v>
      </c>
      <c r="M24" s="19" t="n">
        <f aca="false">B24*Inputs!$B$14</f>
        <v>14455.15831184</v>
      </c>
    </row>
    <row r="25" customFormat="false" ht="15" hidden="false" customHeight="false" outlineLevel="0" collapsed="false">
      <c r="A25" s="18" t="n">
        <v>21</v>
      </c>
      <c r="B25" s="19" t="n">
        <f aca="false">F24</f>
        <v>176809.300992</v>
      </c>
      <c r="C25" s="19" t="n">
        <f aca="false">IF(A25&lt;=Inputs!$B$19,Inputs!$B$21,0)</f>
        <v>5009.48714890594</v>
      </c>
      <c r="D25" s="19" t="n">
        <f aca="false">B25*Inputs!$B$20</f>
        <v>1105.0581312</v>
      </c>
      <c r="E25" s="19" t="n">
        <f aca="false">C25-D25</f>
        <v>3904.42901770594</v>
      </c>
      <c r="F25" s="19" t="n">
        <f aca="false">ROUND(B25-E25,6)</f>
        <v>172904.871974</v>
      </c>
      <c r="G25" s="19" t="n">
        <f aca="false">B25*Inputs!$B$10/12</f>
        <v>736.7054208</v>
      </c>
      <c r="H25" s="19" t="n">
        <f aca="false">B25*Inputs!$B$11/12</f>
        <v>88.404650496</v>
      </c>
      <c r="I25" s="19" t="n">
        <f aca="false">B25*Inputs!$B$12/12*Inputs!$B$13</f>
        <v>99.455231808</v>
      </c>
      <c r="J25" s="19" t="n">
        <f aca="false">D25-G25-H25-I25+IF(A25=1,Inputs!$B$22,0)</f>
        <v>180.492828096</v>
      </c>
      <c r="K25" s="19" t="n">
        <f aca="false">J25*Inputs!$B$16</f>
        <v>46.92813530496</v>
      </c>
      <c r="L25" s="19" t="n">
        <f aca="false">J25-K25</f>
        <v>133.56469279104</v>
      </c>
      <c r="M25" s="19" t="n">
        <f aca="false">B25*Inputs!$B$14</f>
        <v>14144.74407936</v>
      </c>
    </row>
    <row r="26" customFormat="false" ht="15" hidden="false" customHeight="false" outlineLevel="0" collapsed="false">
      <c r="A26" s="18" t="n">
        <v>22</v>
      </c>
      <c r="B26" s="19" t="n">
        <f aca="false">F25</f>
        <v>172904.871974</v>
      </c>
      <c r="C26" s="19" t="n">
        <f aca="false">IF(A26&lt;=Inputs!$B$19,Inputs!$B$21,0)</f>
        <v>5009.48714890594</v>
      </c>
      <c r="D26" s="19" t="n">
        <f aca="false">B26*Inputs!$B$20</f>
        <v>1080.6554498375</v>
      </c>
      <c r="E26" s="19" t="n">
        <f aca="false">C26-D26</f>
        <v>3928.83169906844</v>
      </c>
      <c r="F26" s="19" t="n">
        <f aca="false">ROUND(B26-E26,6)</f>
        <v>168976.040275</v>
      </c>
      <c r="G26" s="19" t="n">
        <f aca="false">B26*Inputs!$B$10/12</f>
        <v>720.436966558333</v>
      </c>
      <c r="H26" s="19" t="n">
        <f aca="false">B26*Inputs!$B$11/12</f>
        <v>86.452435987</v>
      </c>
      <c r="I26" s="19" t="n">
        <f aca="false">B26*Inputs!$B$12/12*Inputs!$B$13</f>
        <v>97.258990485375</v>
      </c>
      <c r="J26" s="19" t="n">
        <f aca="false">D26-G26-H26-I26+IF(A26=1,Inputs!$B$22,0)</f>
        <v>176.507056806791</v>
      </c>
      <c r="K26" s="19" t="n">
        <f aca="false">J26*Inputs!$B$16</f>
        <v>45.8918347697658</v>
      </c>
      <c r="L26" s="19" t="n">
        <f aca="false">J26-K26</f>
        <v>130.615222037026</v>
      </c>
      <c r="M26" s="19" t="n">
        <f aca="false">B26*Inputs!$B$14</f>
        <v>13832.38975792</v>
      </c>
    </row>
    <row r="27" customFormat="false" ht="15" hidden="false" customHeight="false" outlineLevel="0" collapsed="false">
      <c r="A27" s="18" t="n">
        <v>23</v>
      </c>
      <c r="B27" s="19" t="n">
        <f aca="false">F26</f>
        <v>168976.040275</v>
      </c>
      <c r="C27" s="19" t="n">
        <f aca="false">IF(A27&lt;=Inputs!$B$19,Inputs!$B$21,0)</f>
        <v>5009.48714890594</v>
      </c>
      <c r="D27" s="19" t="n">
        <f aca="false">B27*Inputs!$B$20</f>
        <v>1056.10025171875</v>
      </c>
      <c r="E27" s="19" t="n">
        <f aca="false">C27-D27</f>
        <v>3953.38689718719</v>
      </c>
      <c r="F27" s="19" t="n">
        <f aca="false">ROUND(B27-E27,6)</f>
        <v>165022.653378</v>
      </c>
      <c r="G27" s="19" t="n">
        <f aca="false">B27*Inputs!$B$10/12</f>
        <v>704.066834479167</v>
      </c>
      <c r="H27" s="19" t="n">
        <f aca="false">B27*Inputs!$B$11/12</f>
        <v>84.4880201375</v>
      </c>
      <c r="I27" s="19" t="n">
        <f aca="false">B27*Inputs!$B$12/12*Inputs!$B$13</f>
        <v>95.0490226546875</v>
      </c>
      <c r="J27" s="19" t="n">
        <f aca="false">D27-G27-H27-I27+IF(A27=1,Inputs!$B$22,0)</f>
        <v>172.496374447396</v>
      </c>
      <c r="K27" s="19" t="n">
        <f aca="false">J27*Inputs!$B$16</f>
        <v>44.8490573563229</v>
      </c>
      <c r="L27" s="19" t="n">
        <f aca="false">J27-K27</f>
        <v>127.647317091073</v>
      </c>
      <c r="M27" s="19" t="n">
        <f aca="false">B27*Inputs!$B$14</f>
        <v>13518.083222</v>
      </c>
    </row>
    <row r="28" customFormat="false" ht="15" hidden="false" customHeight="false" outlineLevel="0" collapsed="false">
      <c r="A28" s="18" t="n">
        <v>24</v>
      </c>
      <c r="B28" s="19" t="n">
        <f aca="false">F27</f>
        <v>165022.653378</v>
      </c>
      <c r="C28" s="19" t="n">
        <f aca="false">IF(A28&lt;=Inputs!$B$19,Inputs!$B$21,0)</f>
        <v>5009.48714890594</v>
      </c>
      <c r="D28" s="19" t="n">
        <f aca="false">B28*Inputs!$B$20</f>
        <v>1031.3915836125</v>
      </c>
      <c r="E28" s="19" t="n">
        <f aca="false">C28-D28</f>
        <v>3978.09556529344</v>
      </c>
      <c r="F28" s="19" t="n">
        <f aca="false">ROUND(B28-E28,6)</f>
        <v>161044.557813</v>
      </c>
      <c r="G28" s="19" t="n">
        <f aca="false">B28*Inputs!$B$10/12</f>
        <v>687.594389075</v>
      </c>
      <c r="H28" s="19" t="n">
        <f aca="false">B28*Inputs!$B$11/12</f>
        <v>82.511326689</v>
      </c>
      <c r="I28" s="19" t="n">
        <f aca="false">B28*Inputs!$B$12/12*Inputs!$B$13</f>
        <v>92.825242525125</v>
      </c>
      <c r="J28" s="19" t="n">
        <f aca="false">D28-G28-H28-I28+IF(A28=1,Inputs!$B$22,0)</f>
        <v>168.460625323375</v>
      </c>
      <c r="K28" s="19" t="n">
        <f aca="false">J28*Inputs!$B$16</f>
        <v>43.7997625840774</v>
      </c>
      <c r="L28" s="19" t="n">
        <f aca="false">J28-K28</f>
        <v>124.660862739297</v>
      </c>
      <c r="M28" s="19" t="n">
        <f aca="false">B28*Inputs!$B$14</f>
        <v>13201.81227024</v>
      </c>
    </row>
    <row r="29" customFormat="false" ht="15" hidden="false" customHeight="false" outlineLevel="0" collapsed="false">
      <c r="A29" s="18" t="n">
        <v>25</v>
      </c>
      <c r="B29" s="19" t="n">
        <f aca="false">F28</f>
        <v>161044.557813</v>
      </c>
      <c r="C29" s="19" t="n">
        <f aca="false">IF(A29&lt;=Inputs!$B$19,Inputs!$B$21,0)</f>
        <v>5009.48714890594</v>
      </c>
      <c r="D29" s="19" t="n">
        <f aca="false">B29*Inputs!$B$20</f>
        <v>1006.52848633125</v>
      </c>
      <c r="E29" s="19" t="n">
        <f aca="false">C29-D29</f>
        <v>4002.95866257469</v>
      </c>
      <c r="F29" s="19" t="n">
        <f aca="false">ROUND(B29-E29,6)</f>
        <v>157041.59915</v>
      </c>
      <c r="G29" s="19" t="n">
        <f aca="false">B29*Inputs!$B$10/12</f>
        <v>671.0189908875</v>
      </c>
      <c r="H29" s="19" t="n">
        <f aca="false">B29*Inputs!$B$11/12</f>
        <v>80.5222789065</v>
      </c>
      <c r="I29" s="19" t="n">
        <f aca="false">B29*Inputs!$B$12/12*Inputs!$B$13</f>
        <v>90.5875637698125</v>
      </c>
      <c r="J29" s="19" t="n">
        <f aca="false">D29-G29-H29-I29+IF(A29=1,Inputs!$B$22,0)</f>
        <v>164.399652767437</v>
      </c>
      <c r="K29" s="19" t="n">
        <f aca="false">J29*Inputs!$B$16</f>
        <v>42.7439097195337</v>
      </c>
      <c r="L29" s="19" t="n">
        <f aca="false">J29-K29</f>
        <v>121.655743047904</v>
      </c>
      <c r="M29" s="19" t="n">
        <f aca="false">B29*Inputs!$B$14</f>
        <v>12883.56462504</v>
      </c>
    </row>
    <row r="30" customFormat="false" ht="15" hidden="false" customHeight="false" outlineLevel="0" collapsed="false">
      <c r="A30" s="18" t="n">
        <v>26</v>
      </c>
      <c r="B30" s="19" t="n">
        <f aca="false">F29</f>
        <v>157041.59915</v>
      </c>
      <c r="C30" s="19" t="n">
        <f aca="false">IF(A30&lt;=Inputs!$B$19,Inputs!$B$21,0)</f>
        <v>5009.48714890594</v>
      </c>
      <c r="D30" s="19" t="n">
        <f aca="false">B30*Inputs!$B$20</f>
        <v>981.5099946875</v>
      </c>
      <c r="E30" s="19" t="n">
        <f aca="false">C30-D30</f>
        <v>4027.97715421844</v>
      </c>
      <c r="F30" s="19" t="n">
        <f aca="false">ROUND(B30-E30,6)</f>
        <v>153013.621996</v>
      </c>
      <c r="G30" s="19" t="n">
        <f aca="false">B30*Inputs!$B$10/12</f>
        <v>654.339996458333</v>
      </c>
      <c r="H30" s="19" t="n">
        <f aca="false">B30*Inputs!$B$11/12</f>
        <v>78.520799575</v>
      </c>
      <c r="I30" s="19" t="n">
        <f aca="false">B30*Inputs!$B$12/12*Inputs!$B$13</f>
        <v>88.335899521875</v>
      </c>
      <c r="J30" s="19" t="n">
        <f aca="false">D30-G30-H30-I30+IF(A30=1,Inputs!$B$22,0)</f>
        <v>160.313299132292</v>
      </c>
      <c r="K30" s="19" t="n">
        <f aca="false">J30*Inputs!$B$16</f>
        <v>41.6814577743958</v>
      </c>
      <c r="L30" s="19" t="n">
        <f aca="false">J30-K30</f>
        <v>118.631841357896</v>
      </c>
      <c r="M30" s="19" t="n">
        <f aca="false">B30*Inputs!$B$14</f>
        <v>12563.327932</v>
      </c>
    </row>
    <row r="31" customFormat="false" ht="15" hidden="false" customHeight="false" outlineLevel="0" collapsed="false">
      <c r="A31" s="18" t="n">
        <v>27</v>
      </c>
      <c r="B31" s="19" t="n">
        <f aca="false">F30</f>
        <v>153013.621996</v>
      </c>
      <c r="C31" s="19" t="n">
        <f aca="false">IF(A31&lt;=Inputs!$B$19,Inputs!$B$21,0)</f>
        <v>5009.48714890594</v>
      </c>
      <c r="D31" s="19" t="n">
        <f aca="false">B31*Inputs!$B$20</f>
        <v>956.335137475</v>
      </c>
      <c r="E31" s="19" t="n">
        <f aca="false">C31-D31</f>
        <v>4053.15201143094</v>
      </c>
      <c r="F31" s="19" t="n">
        <f aca="false">ROUND(B31-E31,6)</f>
        <v>148960.469985</v>
      </c>
      <c r="G31" s="19" t="n">
        <f aca="false">B31*Inputs!$B$10/12</f>
        <v>637.556758316667</v>
      </c>
      <c r="H31" s="19" t="n">
        <f aca="false">B31*Inputs!$B$11/12</f>
        <v>76.506810998</v>
      </c>
      <c r="I31" s="19" t="n">
        <f aca="false">B31*Inputs!$B$12/12*Inputs!$B$13</f>
        <v>86.07016237275</v>
      </c>
      <c r="J31" s="19" t="n">
        <f aca="false">D31-G31-H31-I31+IF(A31=1,Inputs!$B$22,0)</f>
        <v>156.201405787583</v>
      </c>
      <c r="K31" s="19" t="n">
        <f aca="false">J31*Inputs!$B$16</f>
        <v>40.6123655047716</v>
      </c>
      <c r="L31" s="19" t="n">
        <f aca="false">J31-K31</f>
        <v>115.589040282812</v>
      </c>
      <c r="M31" s="19" t="n">
        <f aca="false">B31*Inputs!$B$14</f>
        <v>12241.08975968</v>
      </c>
    </row>
    <row r="32" customFormat="false" ht="15" hidden="false" customHeight="false" outlineLevel="0" collapsed="false">
      <c r="A32" s="18" t="n">
        <v>28</v>
      </c>
      <c r="B32" s="19" t="n">
        <f aca="false">F31</f>
        <v>148960.469985</v>
      </c>
      <c r="C32" s="19" t="n">
        <f aca="false">IF(A32&lt;=Inputs!$B$19,Inputs!$B$21,0)</f>
        <v>5009.48714890594</v>
      </c>
      <c r="D32" s="19" t="n">
        <f aca="false">B32*Inputs!$B$20</f>
        <v>931.00293740625</v>
      </c>
      <c r="E32" s="19" t="n">
        <f aca="false">C32-D32</f>
        <v>4078.48421149969</v>
      </c>
      <c r="F32" s="19" t="n">
        <f aca="false">ROUND(B32-E32,6)</f>
        <v>144881.985774</v>
      </c>
      <c r="G32" s="19" t="n">
        <f aca="false">B32*Inputs!$B$10/12</f>
        <v>620.6686249375</v>
      </c>
      <c r="H32" s="19" t="n">
        <f aca="false">B32*Inputs!$B$11/12</f>
        <v>74.4802349925</v>
      </c>
      <c r="I32" s="19" t="n">
        <f aca="false">B32*Inputs!$B$12/12*Inputs!$B$13</f>
        <v>83.7902643665625</v>
      </c>
      <c r="J32" s="19" t="n">
        <f aca="false">D32-G32-H32-I32+IF(A32=1,Inputs!$B$22,0)</f>
        <v>152.063813109687</v>
      </c>
      <c r="K32" s="19" t="n">
        <f aca="false">J32*Inputs!$B$16</f>
        <v>39.5365914085187</v>
      </c>
      <c r="L32" s="19" t="n">
        <f aca="false">J32-K32</f>
        <v>112.527221701169</v>
      </c>
      <c r="M32" s="19" t="n">
        <f aca="false">B32*Inputs!$B$14</f>
        <v>11916.8375988</v>
      </c>
    </row>
    <row r="33" customFormat="false" ht="15" hidden="false" customHeight="false" outlineLevel="0" collapsed="false">
      <c r="A33" s="18" t="n">
        <v>29</v>
      </c>
      <c r="B33" s="19" t="n">
        <f aca="false">F32</f>
        <v>144881.985774</v>
      </c>
      <c r="C33" s="19" t="n">
        <f aca="false">IF(A33&lt;=Inputs!$B$19,Inputs!$B$21,0)</f>
        <v>5009.48714890594</v>
      </c>
      <c r="D33" s="19" t="n">
        <f aca="false">B33*Inputs!$B$20</f>
        <v>905.5124110875</v>
      </c>
      <c r="E33" s="19" t="n">
        <f aca="false">C33-D33</f>
        <v>4103.97473781844</v>
      </c>
      <c r="F33" s="19" t="n">
        <f aca="false">ROUND(B33-E33,6)</f>
        <v>140778.011036</v>
      </c>
      <c r="G33" s="19" t="n">
        <f aca="false">B33*Inputs!$B$10/12</f>
        <v>603.674940725</v>
      </c>
      <c r="H33" s="19" t="n">
        <f aca="false">B33*Inputs!$B$11/12</f>
        <v>72.440992887</v>
      </c>
      <c r="I33" s="19" t="n">
        <f aca="false">B33*Inputs!$B$12/12*Inputs!$B$13</f>
        <v>81.496116997875</v>
      </c>
      <c r="J33" s="19" t="n">
        <f aca="false">D33-G33-H33-I33+IF(A33=1,Inputs!$B$22,0)</f>
        <v>147.900360477625</v>
      </c>
      <c r="K33" s="19" t="n">
        <f aca="false">J33*Inputs!$B$16</f>
        <v>38.4540937241825</v>
      </c>
      <c r="L33" s="19" t="n">
        <f aca="false">J33-K33</f>
        <v>109.446266753442</v>
      </c>
      <c r="M33" s="19" t="n">
        <f aca="false">B33*Inputs!$B$14</f>
        <v>11590.55886192</v>
      </c>
    </row>
    <row r="34" customFormat="false" ht="15" hidden="false" customHeight="false" outlineLevel="0" collapsed="false">
      <c r="A34" s="18" t="n">
        <v>30</v>
      </c>
      <c r="B34" s="19" t="n">
        <f aca="false">F33</f>
        <v>140778.011036</v>
      </c>
      <c r="C34" s="19" t="n">
        <f aca="false">IF(A34&lt;=Inputs!$B$19,Inputs!$B$21,0)</f>
        <v>5009.48714890594</v>
      </c>
      <c r="D34" s="19" t="n">
        <f aca="false">B34*Inputs!$B$20</f>
        <v>879.862568975</v>
      </c>
      <c r="E34" s="19" t="n">
        <f aca="false">C34-D34</f>
        <v>4129.62457993094</v>
      </c>
      <c r="F34" s="19" t="n">
        <f aca="false">ROUND(B34-E34,6)</f>
        <v>136648.386456</v>
      </c>
      <c r="G34" s="19" t="n">
        <f aca="false">B34*Inputs!$B$10/12</f>
        <v>586.575045983333</v>
      </c>
      <c r="H34" s="19" t="n">
        <f aca="false">B34*Inputs!$B$11/12</f>
        <v>70.389005518</v>
      </c>
      <c r="I34" s="19" t="n">
        <f aca="false">B34*Inputs!$B$12/12*Inputs!$B$13</f>
        <v>79.18763120775</v>
      </c>
      <c r="J34" s="19" t="n">
        <f aca="false">D34-G34-H34-I34+IF(A34=1,Inputs!$B$22,0)</f>
        <v>143.710886265917</v>
      </c>
      <c r="K34" s="19" t="n">
        <f aca="false">J34*Inputs!$B$16</f>
        <v>37.3648304291383</v>
      </c>
      <c r="L34" s="19" t="n">
        <f aca="false">J34-K34</f>
        <v>106.346055836778</v>
      </c>
      <c r="M34" s="19" t="n">
        <f aca="false">B34*Inputs!$B$14</f>
        <v>11262.24088288</v>
      </c>
    </row>
    <row r="35" customFormat="false" ht="15" hidden="false" customHeight="false" outlineLevel="0" collapsed="false">
      <c r="A35" s="18" t="n">
        <v>31</v>
      </c>
      <c r="B35" s="19" t="n">
        <f aca="false">F34</f>
        <v>136648.386456</v>
      </c>
      <c r="C35" s="19" t="n">
        <f aca="false">IF(A35&lt;=Inputs!$B$19,Inputs!$B$21,0)</f>
        <v>5009.48714890594</v>
      </c>
      <c r="D35" s="19" t="n">
        <f aca="false">B35*Inputs!$B$20</f>
        <v>854.05241535</v>
      </c>
      <c r="E35" s="19" t="n">
        <f aca="false">C35-D35</f>
        <v>4155.43473355594</v>
      </c>
      <c r="F35" s="19" t="n">
        <f aca="false">ROUND(B35-E35,6)</f>
        <v>132492.951722</v>
      </c>
      <c r="G35" s="19" t="n">
        <f aca="false">B35*Inputs!$B$10/12</f>
        <v>569.3682769</v>
      </c>
      <c r="H35" s="19" t="n">
        <f aca="false">B35*Inputs!$B$11/12</f>
        <v>68.324193228</v>
      </c>
      <c r="I35" s="19" t="n">
        <f aca="false">B35*Inputs!$B$12/12*Inputs!$B$13</f>
        <v>76.8647173815</v>
      </c>
      <c r="J35" s="19" t="n">
        <f aca="false">D35-G35-H35-I35+IF(A35=1,Inputs!$B$22,0)</f>
        <v>139.4952278405</v>
      </c>
      <c r="K35" s="19" t="n">
        <f aca="false">J35*Inputs!$B$16</f>
        <v>36.26875923853</v>
      </c>
      <c r="L35" s="19" t="n">
        <f aca="false">J35-K35</f>
        <v>103.22646860197</v>
      </c>
      <c r="M35" s="19" t="n">
        <f aca="false">B35*Inputs!$B$14</f>
        <v>10931.87091648</v>
      </c>
    </row>
    <row r="36" customFormat="false" ht="15" hidden="false" customHeight="false" outlineLevel="0" collapsed="false">
      <c r="A36" s="18" t="n">
        <v>32</v>
      </c>
      <c r="B36" s="19" t="n">
        <f aca="false">F35</f>
        <v>132492.951722</v>
      </c>
      <c r="C36" s="19" t="n">
        <f aca="false">IF(A36&lt;=Inputs!$B$19,Inputs!$B$21,0)</f>
        <v>5009.48714890594</v>
      </c>
      <c r="D36" s="19" t="n">
        <f aca="false">B36*Inputs!$B$20</f>
        <v>828.0809482625</v>
      </c>
      <c r="E36" s="19" t="n">
        <f aca="false">C36-D36</f>
        <v>4181.40620064344</v>
      </c>
      <c r="F36" s="19" t="n">
        <f aca="false">ROUND(B36-E36,6)</f>
        <v>128311.545521</v>
      </c>
      <c r="G36" s="19" t="n">
        <f aca="false">B36*Inputs!$B$10/12</f>
        <v>552.053965508333</v>
      </c>
      <c r="H36" s="19" t="n">
        <f aca="false">B36*Inputs!$B$11/12</f>
        <v>66.246475861</v>
      </c>
      <c r="I36" s="19" t="n">
        <f aca="false">B36*Inputs!$B$12/12*Inputs!$B$13</f>
        <v>74.527285343625</v>
      </c>
      <c r="J36" s="19" t="n">
        <f aca="false">D36-G36-H36-I36+IF(A36=1,Inputs!$B$22,0)</f>
        <v>135.253221549541</v>
      </c>
      <c r="K36" s="19" t="n">
        <f aca="false">J36*Inputs!$B$16</f>
        <v>35.1658376028808</v>
      </c>
      <c r="L36" s="19" t="n">
        <f aca="false">J36-K36</f>
        <v>100.087383946661</v>
      </c>
      <c r="M36" s="19" t="n">
        <f aca="false">B36*Inputs!$B$14</f>
        <v>10599.43613776</v>
      </c>
    </row>
    <row r="37" customFormat="false" ht="15" hidden="false" customHeight="false" outlineLevel="0" collapsed="false">
      <c r="A37" s="18" t="n">
        <v>33</v>
      </c>
      <c r="B37" s="19" t="n">
        <f aca="false">F36</f>
        <v>128311.545521</v>
      </c>
      <c r="C37" s="19" t="n">
        <f aca="false">IF(A37&lt;=Inputs!$B$19,Inputs!$B$21,0)</f>
        <v>5009.48714890594</v>
      </c>
      <c r="D37" s="19" t="n">
        <f aca="false">B37*Inputs!$B$20</f>
        <v>801.94715950625</v>
      </c>
      <c r="E37" s="19" t="n">
        <f aca="false">C37-D37</f>
        <v>4207.53998939969</v>
      </c>
      <c r="F37" s="19" t="n">
        <f aca="false">ROUND(B37-E37,6)</f>
        <v>124104.005532</v>
      </c>
      <c r="G37" s="19" t="n">
        <f aca="false">B37*Inputs!$B$10/12</f>
        <v>534.631439670833</v>
      </c>
      <c r="H37" s="19" t="n">
        <f aca="false">B37*Inputs!$B$11/12</f>
        <v>64.1557727605</v>
      </c>
      <c r="I37" s="19" t="n">
        <f aca="false">B37*Inputs!$B$12/12*Inputs!$B$13</f>
        <v>72.1752443555625</v>
      </c>
      <c r="J37" s="19" t="n">
        <f aca="false">D37-G37-H37-I37+IF(A37=1,Inputs!$B$22,0)</f>
        <v>130.984702719354</v>
      </c>
      <c r="K37" s="19" t="n">
        <f aca="false">J37*Inputs!$B$16</f>
        <v>34.0560227070321</v>
      </c>
      <c r="L37" s="19" t="n">
        <f aca="false">J37-K37</f>
        <v>96.928680012322</v>
      </c>
      <c r="M37" s="19" t="n">
        <f aca="false">B37*Inputs!$B$14</f>
        <v>10264.92364168</v>
      </c>
    </row>
    <row r="38" customFormat="false" ht="15" hidden="false" customHeight="false" outlineLevel="0" collapsed="false">
      <c r="A38" s="18" t="n">
        <v>34</v>
      </c>
      <c r="B38" s="19" t="n">
        <f aca="false">F37</f>
        <v>124104.005532</v>
      </c>
      <c r="C38" s="19" t="n">
        <f aca="false">IF(A38&lt;=Inputs!$B$19,Inputs!$B$21,0)</f>
        <v>5009.48714890594</v>
      </c>
      <c r="D38" s="19" t="n">
        <f aca="false">B38*Inputs!$B$20</f>
        <v>775.650034575</v>
      </c>
      <c r="E38" s="19" t="n">
        <f aca="false">C38-D38</f>
        <v>4233.83711433094</v>
      </c>
      <c r="F38" s="19" t="n">
        <f aca="false">ROUND(B38-E38,6)</f>
        <v>119870.168418</v>
      </c>
      <c r="G38" s="19" t="n">
        <f aca="false">B38*Inputs!$B$10/12</f>
        <v>517.10002305</v>
      </c>
      <c r="H38" s="19" t="n">
        <f aca="false">B38*Inputs!$B$11/12</f>
        <v>62.052002766</v>
      </c>
      <c r="I38" s="19" t="n">
        <f aca="false">B38*Inputs!$B$12/12*Inputs!$B$13</f>
        <v>69.80850311175</v>
      </c>
      <c r="J38" s="19" t="n">
        <f aca="false">D38-G38-H38-I38+IF(A38=1,Inputs!$B$22,0)</f>
        <v>126.68950564725</v>
      </c>
      <c r="K38" s="19" t="n">
        <f aca="false">J38*Inputs!$B$16</f>
        <v>32.939271468285</v>
      </c>
      <c r="L38" s="19" t="n">
        <f aca="false">J38-K38</f>
        <v>93.750234178965</v>
      </c>
      <c r="M38" s="19" t="n">
        <f aca="false">B38*Inputs!$B$14</f>
        <v>9928.32044256</v>
      </c>
    </row>
    <row r="39" customFormat="false" ht="15" hidden="false" customHeight="false" outlineLevel="0" collapsed="false">
      <c r="A39" s="18" t="n">
        <v>35</v>
      </c>
      <c r="B39" s="19" t="n">
        <f aca="false">F38</f>
        <v>119870.168418</v>
      </c>
      <c r="C39" s="19" t="n">
        <f aca="false">IF(A39&lt;=Inputs!$B$19,Inputs!$B$21,0)</f>
        <v>5009.48714890594</v>
      </c>
      <c r="D39" s="19" t="n">
        <f aca="false">B39*Inputs!$B$20</f>
        <v>749.1885526125</v>
      </c>
      <c r="E39" s="19" t="n">
        <f aca="false">C39-D39</f>
        <v>4260.29859629344</v>
      </c>
      <c r="F39" s="19" t="n">
        <f aca="false">ROUND(B39-E39,6)</f>
        <v>115609.869822</v>
      </c>
      <c r="G39" s="19" t="n">
        <f aca="false">B39*Inputs!$B$10/12</f>
        <v>499.459035075</v>
      </c>
      <c r="H39" s="19" t="n">
        <f aca="false">B39*Inputs!$B$11/12</f>
        <v>59.935084209</v>
      </c>
      <c r="I39" s="19" t="n">
        <f aca="false">B39*Inputs!$B$12/12*Inputs!$B$13</f>
        <v>67.426969735125</v>
      </c>
      <c r="J39" s="19" t="n">
        <f aca="false">D39-G39-H39-I39+IF(A39=1,Inputs!$B$22,0)</f>
        <v>122.367463593375</v>
      </c>
      <c r="K39" s="19" t="n">
        <f aca="false">J39*Inputs!$B$16</f>
        <v>31.8155405342775</v>
      </c>
      <c r="L39" s="19" t="n">
        <f aca="false">J39-K39</f>
        <v>90.5519230590975</v>
      </c>
      <c r="M39" s="19" t="n">
        <f aca="false">B39*Inputs!$B$14</f>
        <v>9589.61347344</v>
      </c>
    </row>
    <row r="40" customFormat="false" ht="15" hidden="false" customHeight="false" outlineLevel="0" collapsed="false">
      <c r="A40" s="18" t="n">
        <v>36</v>
      </c>
      <c r="B40" s="19" t="n">
        <f aca="false">F39</f>
        <v>115609.869822</v>
      </c>
      <c r="C40" s="19" t="n">
        <f aca="false">IF(A40&lt;=Inputs!$B$19,Inputs!$B$21,0)</f>
        <v>5009.48714890594</v>
      </c>
      <c r="D40" s="19" t="n">
        <f aca="false">B40*Inputs!$B$20</f>
        <v>722.5616863875</v>
      </c>
      <c r="E40" s="19" t="n">
        <f aca="false">C40-D40</f>
        <v>4286.92546251844</v>
      </c>
      <c r="F40" s="19" t="n">
        <f aca="false">ROUND(B40-E40,6)</f>
        <v>111322.944359</v>
      </c>
      <c r="G40" s="19" t="n">
        <f aca="false">B40*Inputs!$B$10/12</f>
        <v>481.707790925</v>
      </c>
      <c r="H40" s="19" t="n">
        <f aca="false">B40*Inputs!$B$11/12</f>
        <v>57.804934911</v>
      </c>
      <c r="I40" s="19" t="n">
        <f aca="false">B40*Inputs!$B$12/12*Inputs!$B$13</f>
        <v>65.030551774875</v>
      </c>
      <c r="J40" s="19" t="n">
        <f aca="false">D40-G40-H40-I40+IF(A40=1,Inputs!$B$22,0)</f>
        <v>118.018408776625</v>
      </c>
      <c r="K40" s="19" t="n">
        <f aca="false">J40*Inputs!$B$16</f>
        <v>30.6847862819225</v>
      </c>
      <c r="L40" s="19" t="n">
        <f aca="false">J40-K40</f>
        <v>87.3336224947024</v>
      </c>
      <c r="M40" s="19" t="n">
        <f aca="false">B40*Inputs!$B$14</f>
        <v>9248.78958576</v>
      </c>
    </row>
    <row r="41" customFormat="false" ht="15" hidden="false" customHeight="false" outlineLevel="0" collapsed="false">
      <c r="A41" s="18" t="n">
        <v>37</v>
      </c>
      <c r="B41" s="19" t="n">
        <f aca="false">F40</f>
        <v>111322.944359</v>
      </c>
      <c r="C41" s="19" t="n">
        <f aca="false">IF(A41&lt;=Inputs!$B$19,Inputs!$B$21,0)</f>
        <v>5009.48714890594</v>
      </c>
      <c r="D41" s="19" t="n">
        <f aca="false">B41*Inputs!$B$20</f>
        <v>695.76840224375</v>
      </c>
      <c r="E41" s="19" t="n">
        <f aca="false">C41-D41</f>
        <v>4313.71874666219</v>
      </c>
      <c r="F41" s="19" t="n">
        <f aca="false">ROUND(B41-E41,6)</f>
        <v>107009.225612</v>
      </c>
      <c r="G41" s="19" t="n">
        <f aca="false">B41*Inputs!$B$10/12</f>
        <v>463.845601495833</v>
      </c>
      <c r="H41" s="19" t="n">
        <f aca="false">B41*Inputs!$B$11/12</f>
        <v>55.6614721795</v>
      </c>
      <c r="I41" s="19" t="n">
        <f aca="false">B41*Inputs!$B$12/12*Inputs!$B$13</f>
        <v>62.6191562019375</v>
      </c>
      <c r="J41" s="19" t="n">
        <f aca="false">D41-G41-H41-I41+IF(A41=1,Inputs!$B$22,0)</f>
        <v>113.642172366479</v>
      </c>
      <c r="K41" s="19" t="n">
        <f aca="false">J41*Inputs!$B$16</f>
        <v>29.5469648152846</v>
      </c>
      <c r="L41" s="19" t="n">
        <f aca="false">J41-K41</f>
        <v>84.0952075511945</v>
      </c>
      <c r="M41" s="19" t="n">
        <f aca="false">B41*Inputs!$B$14</f>
        <v>8905.83554872</v>
      </c>
    </row>
    <row r="42" customFormat="false" ht="15" hidden="false" customHeight="false" outlineLevel="0" collapsed="false">
      <c r="A42" s="18" t="n">
        <v>38</v>
      </c>
      <c r="B42" s="19" t="n">
        <f aca="false">F41</f>
        <v>107009.225612</v>
      </c>
      <c r="C42" s="19" t="n">
        <f aca="false">IF(A42&lt;=Inputs!$B$19,Inputs!$B$21,0)</f>
        <v>5009.48714890594</v>
      </c>
      <c r="D42" s="19" t="n">
        <f aca="false">B42*Inputs!$B$20</f>
        <v>668.807660075</v>
      </c>
      <c r="E42" s="19" t="n">
        <f aca="false">C42-D42</f>
        <v>4340.67948883094</v>
      </c>
      <c r="F42" s="19" t="n">
        <f aca="false">ROUND(B42-E42,6)</f>
        <v>102668.546123</v>
      </c>
      <c r="G42" s="19" t="n">
        <f aca="false">B42*Inputs!$B$10/12</f>
        <v>445.871773383333</v>
      </c>
      <c r="H42" s="19" t="n">
        <f aca="false">B42*Inputs!$B$11/12</f>
        <v>53.504612806</v>
      </c>
      <c r="I42" s="19" t="n">
        <f aca="false">B42*Inputs!$B$12/12*Inputs!$B$13</f>
        <v>60.19268940675</v>
      </c>
      <c r="J42" s="19" t="n">
        <f aca="false">D42-G42-H42-I42+IF(A42=1,Inputs!$B$22,0)</f>
        <v>109.238584478917</v>
      </c>
      <c r="K42" s="19" t="n">
        <f aca="false">J42*Inputs!$B$16</f>
        <v>28.4020319645183</v>
      </c>
      <c r="L42" s="19" t="n">
        <f aca="false">J42-K42</f>
        <v>80.8365525143983</v>
      </c>
      <c r="M42" s="19" t="n">
        <f aca="false">B42*Inputs!$B$14</f>
        <v>8560.73804896</v>
      </c>
    </row>
    <row r="43" customFormat="false" ht="15" hidden="false" customHeight="false" outlineLevel="0" collapsed="false">
      <c r="A43" s="18" t="n">
        <v>39</v>
      </c>
      <c r="B43" s="19" t="n">
        <f aca="false">F42</f>
        <v>102668.546123</v>
      </c>
      <c r="C43" s="19" t="n">
        <f aca="false">IF(A43&lt;=Inputs!$B$19,Inputs!$B$21,0)</f>
        <v>5009.48714890594</v>
      </c>
      <c r="D43" s="19" t="n">
        <f aca="false">B43*Inputs!$B$20</f>
        <v>641.67841326875</v>
      </c>
      <c r="E43" s="19" t="n">
        <f aca="false">C43-D43</f>
        <v>4367.80873563719</v>
      </c>
      <c r="F43" s="19" t="n">
        <f aca="false">ROUND(B43-E43,6)</f>
        <v>98300.737387</v>
      </c>
      <c r="G43" s="19" t="n">
        <f aca="false">B43*Inputs!$B$10/12</f>
        <v>427.785608845833</v>
      </c>
      <c r="H43" s="19" t="n">
        <f aca="false">B43*Inputs!$B$11/12</f>
        <v>51.3342730615</v>
      </c>
      <c r="I43" s="19" t="n">
        <f aca="false">B43*Inputs!$B$12/12*Inputs!$B$13</f>
        <v>57.7510571941875</v>
      </c>
      <c r="J43" s="19" t="n">
        <f aca="false">D43-G43-H43-I43+IF(A43=1,Inputs!$B$22,0)</f>
        <v>104.807474167229</v>
      </c>
      <c r="K43" s="19" t="n">
        <f aca="false">J43*Inputs!$B$16</f>
        <v>27.2499432834796</v>
      </c>
      <c r="L43" s="19" t="n">
        <f aca="false">J43-K43</f>
        <v>77.5575308837495</v>
      </c>
      <c r="M43" s="19" t="n">
        <f aca="false">B43*Inputs!$B$14</f>
        <v>8213.48368984</v>
      </c>
    </row>
    <row r="44" customFormat="false" ht="15" hidden="false" customHeight="false" outlineLevel="0" collapsed="false">
      <c r="A44" s="18" t="n">
        <v>40</v>
      </c>
      <c r="B44" s="19" t="n">
        <f aca="false">F43</f>
        <v>98300.737387</v>
      </c>
      <c r="C44" s="19" t="n">
        <f aca="false">IF(A44&lt;=Inputs!$B$19,Inputs!$B$21,0)</f>
        <v>5009.48714890594</v>
      </c>
      <c r="D44" s="19" t="n">
        <f aca="false">B44*Inputs!$B$20</f>
        <v>614.37960866875</v>
      </c>
      <c r="E44" s="19" t="n">
        <f aca="false">C44-D44</f>
        <v>4395.10754023719</v>
      </c>
      <c r="F44" s="19" t="n">
        <f aca="false">ROUND(B44-E44,6)</f>
        <v>93905.629847</v>
      </c>
      <c r="G44" s="19" t="n">
        <f aca="false">B44*Inputs!$B$10/12</f>
        <v>409.586405779167</v>
      </c>
      <c r="H44" s="19" t="n">
        <f aca="false">B44*Inputs!$B$11/12</f>
        <v>49.1503686935</v>
      </c>
      <c r="I44" s="19" t="n">
        <f aca="false">B44*Inputs!$B$12/12*Inputs!$B$13</f>
        <v>55.2941647801875</v>
      </c>
      <c r="J44" s="19" t="n">
        <f aca="false">D44-G44-H44-I44+IF(A44=1,Inputs!$B$22,0)</f>
        <v>100.348669415896</v>
      </c>
      <c r="K44" s="19" t="n">
        <f aca="false">J44*Inputs!$B$16</f>
        <v>26.0906540481329</v>
      </c>
      <c r="L44" s="19" t="n">
        <f aca="false">J44-K44</f>
        <v>74.2580153677629</v>
      </c>
      <c r="M44" s="19" t="n">
        <f aca="false">B44*Inputs!$B$14</f>
        <v>7864.05899096</v>
      </c>
    </row>
    <row r="45" customFormat="false" ht="15" hidden="false" customHeight="false" outlineLevel="0" collapsed="false">
      <c r="A45" s="18" t="n">
        <v>41</v>
      </c>
      <c r="B45" s="19" t="n">
        <f aca="false">F44</f>
        <v>93905.629847</v>
      </c>
      <c r="C45" s="19" t="n">
        <f aca="false">IF(A45&lt;=Inputs!$B$19,Inputs!$B$21,0)</f>
        <v>5009.48714890594</v>
      </c>
      <c r="D45" s="19" t="n">
        <f aca="false">B45*Inputs!$B$20</f>
        <v>586.91018654375</v>
      </c>
      <c r="E45" s="19" t="n">
        <f aca="false">C45-D45</f>
        <v>4422.57696236219</v>
      </c>
      <c r="F45" s="19" t="n">
        <f aca="false">ROUND(B45-E45,6)</f>
        <v>89483.052885</v>
      </c>
      <c r="G45" s="19" t="n">
        <f aca="false">B45*Inputs!$B$10/12</f>
        <v>391.273457695833</v>
      </c>
      <c r="H45" s="19" t="n">
        <f aca="false">B45*Inputs!$B$11/12</f>
        <v>46.9528149235</v>
      </c>
      <c r="I45" s="19" t="n">
        <f aca="false">B45*Inputs!$B$12/12*Inputs!$B$13</f>
        <v>52.8219167889375</v>
      </c>
      <c r="J45" s="19" t="n">
        <f aca="false">D45-G45-H45-I45+IF(A45=1,Inputs!$B$22,0)</f>
        <v>95.8619971354792</v>
      </c>
      <c r="K45" s="19" t="n">
        <f aca="false">J45*Inputs!$B$16</f>
        <v>24.9241192552246</v>
      </c>
      <c r="L45" s="19" t="n">
        <f aca="false">J45-K45</f>
        <v>70.9378778802546</v>
      </c>
      <c r="M45" s="19" t="n">
        <f aca="false">B45*Inputs!$B$14</f>
        <v>7512.45038776</v>
      </c>
    </row>
    <row r="46" customFormat="false" ht="15" hidden="false" customHeight="false" outlineLevel="0" collapsed="false">
      <c r="A46" s="18" t="n">
        <v>42</v>
      </c>
      <c r="B46" s="19" t="n">
        <f aca="false">F45</f>
        <v>89483.052885</v>
      </c>
      <c r="C46" s="19" t="n">
        <f aca="false">IF(A46&lt;=Inputs!$B$19,Inputs!$B$21,0)</f>
        <v>5009.48714890594</v>
      </c>
      <c r="D46" s="19" t="n">
        <f aca="false">B46*Inputs!$B$20</f>
        <v>559.26908053125</v>
      </c>
      <c r="E46" s="19" t="n">
        <f aca="false">C46-D46</f>
        <v>4450.21806837469</v>
      </c>
      <c r="F46" s="19" t="n">
        <f aca="false">ROUND(B46-E46,6)</f>
        <v>85032.834817</v>
      </c>
      <c r="G46" s="19" t="n">
        <f aca="false">B46*Inputs!$B$10/12</f>
        <v>372.8460536875</v>
      </c>
      <c r="H46" s="19" t="n">
        <f aca="false">B46*Inputs!$B$11/12</f>
        <v>44.7415264425</v>
      </c>
      <c r="I46" s="19" t="n">
        <f aca="false">B46*Inputs!$B$12/12*Inputs!$B$13</f>
        <v>50.3342172478125</v>
      </c>
      <c r="J46" s="19" t="n">
        <f aca="false">D46-G46-H46-I46+IF(A46=1,Inputs!$B$22,0)</f>
        <v>91.3472831534375</v>
      </c>
      <c r="K46" s="19" t="n">
        <f aca="false">J46*Inputs!$B$16</f>
        <v>23.7502936198938</v>
      </c>
      <c r="L46" s="19" t="n">
        <f aca="false">J46-K46</f>
        <v>67.5969895335438</v>
      </c>
      <c r="M46" s="19" t="n">
        <f aca="false">B46*Inputs!$B$14</f>
        <v>7158.6442308</v>
      </c>
    </row>
    <row r="47" customFormat="false" ht="15" hidden="false" customHeight="false" outlineLevel="0" collapsed="false">
      <c r="A47" s="18" t="n">
        <v>43</v>
      </c>
      <c r="B47" s="19" t="n">
        <f aca="false">F46</f>
        <v>85032.834817</v>
      </c>
      <c r="C47" s="19" t="n">
        <f aca="false">IF(A47&lt;=Inputs!$B$19,Inputs!$B$21,0)</f>
        <v>5009.48714890594</v>
      </c>
      <c r="D47" s="19" t="n">
        <f aca="false">B47*Inputs!$B$20</f>
        <v>531.45521760625</v>
      </c>
      <c r="E47" s="19" t="n">
        <f aca="false">C47-D47</f>
        <v>4478.03193129969</v>
      </c>
      <c r="F47" s="19" t="n">
        <f aca="false">ROUND(B47-E47,6)</f>
        <v>80554.802886</v>
      </c>
      <c r="G47" s="19" t="n">
        <f aca="false">B47*Inputs!$B$10/12</f>
        <v>354.303478404167</v>
      </c>
      <c r="H47" s="19" t="n">
        <f aca="false">B47*Inputs!$B$11/12</f>
        <v>42.5164174085</v>
      </c>
      <c r="I47" s="19" t="n">
        <f aca="false">B47*Inputs!$B$12/12*Inputs!$B$13</f>
        <v>47.8309695845625</v>
      </c>
      <c r="J47" s="19" t="n">
        <f aca="false">D47-G47-H47-I47+IF(A47=1,Inputs!$B$22,0)</f>
        <v>86.8043522090207</v>
      </c>
      <c r="K47" s="19" t="n">
        <f aca="false">J47*Inputs!$B$16</f>
        <v>22.5691315743454</v>
      </c>
      <c r="L47" s="19" t="n">
        <f aca="false">J47-K47</f>
        <v>64.2352206346753</v>
      </c>
      <c r="M47" s="19" t="n">
        <f aca="false">B47*Inputs!$B$14</f>
        <v>6802.62678536</v>
      </c>
    </row>
    <row r="48" customFormat="false" ht="15" hidden="false" customHeight="false" outlineLevel="0" collapsed="false">
      <c r="A48" s="18" t="n">
        <v>44</v>
      </c>
      <c r="B48" s="19" t="n">
        <f aca="false">F47</f>
        <v>80554.802886</v>
      </c>
      <c r="C48" s="19" t="n">
        <f aca="false">IF(A48&lt;=Inputs!$B$19,Inputs!$B$21,0)</f>
        <v>5009.48714890594</v>
      </c>
      <c r="D48" s="19" t="n">
        <f aca="false">B48*Inputs!$B$20</f>
        <v>503.4675180375</v>
      </c>
      <c r="E48" s="19" t="n">
        <f aca="false">C48-D48</f>
        <v>4506.01963086844</v>
      </c>
      <c r="F48" s="19" t="n">
        <f aca="false">ROUND(B48-E48,6)</f>
        <v>76048.783255</v>
      </c>
      <c r="G48" s="19" t="n">
        <f aca="false">B48*Inputs!$B$10/12</f>
        <v>335.645012025</v>
      </c>
      <c r="H48" s="19" t="n">
        <f aca="false">B48*Inputs!$B$11/12</f>
        <v>40.277401443</v>
      </c>
      <c r="I48" s="19" t="n">
        <f aca="false">B48*Inputs!$B$12/12*Inputs!$B$13</f>
        <v>45.312076623375</v>
      </c>
      <c r="J48" s="19" t="n">
        <f aca="false">D48-G48-H48-I48+IF(A48=1,Inputs!$B$22,0)</f>
        <v>82.233027946125</v>
      </c>
      <c r="K48" s="19" t="n">
        <f aca="false">J48*Inputs!$B$16</f>
        <v>21.3805872659925</v>
      </c>
      <c r="L48" s="19" t="n">
        <f aca="false">J48-K48</f>
        <v>60.8524406801325</v>
      </c>
      <c r="M48" s="19" t="n">
        <f aca="false">B48*Inputs!$B$14</f>
        <v>6444.38423088</v>
      </c>
    </row>
    <row r="49" customFormat="false" ht="15" hidden="false" customHeight="false" outlineLevel="0" collapsed="false">
      <c r="A49" s="18" t="n">
        <v>45</v>
      </c>
      <c r="B49" s="19" t="n">
        <f aca="false">F48</f>
        <v>76048.783255</v>
      </c>
      <c r="C49" s="19" t="n">
        <f aca="false">IF(A49&lt;=Inputs!$B$19,Inputs!$B$21,0)</f>
        <v>5009.48714890594</v>
      </c>
      <c r="D49" s="19" t="n">
        <f aca="false">B49*Inputs!$B$20</f>
        <v>475.30489534375</v>
      </c>
      <c r="E49" s="19" t="n">
        <f aca="false">C49-D49</f>
        <v>4534.18225356219</v>
      </c>
      <c r="F49" s="19" t="n">
        <f aca="false">ROUND(B49-E49,6)</f>
        <v>71514.601001</v>
      </c>
      <c r="G49" s="19" t="n">
        <f aca="false">B49*Inputs!$B$10/12</f>
        <v>316.869930229167</v>
      </c>
      <c r="H49" s="19" t="n">
        <f aca="false">B49*Inputs!$B$11/12</f>
        <v>38.0243916275</v>
      </c>
      <c r="I49" s="19" t="n">
        <f aca="false">B49*Inputs!$B$12/12*Inputs!$B$13</f>
        <v>42.7774405809375</v>
      </c>
      <c r="J49" s="19" t="n">
        <f aca="false">D49-G49-H49-I49+IF(A49=1,Inputs!$B$22,0)</f>
        <v>77.6331329061458</v>
      </c>
      <c r="K49" s="19" t="n">
        <f aca="false">J49*Inputs!$B$16</f>
        <v>20.1846145555979</v>
      </c>
      <c r="L49" s="19" t="n">
        <f aca="false">J49-K49</f>
        <v>57.4485183505479</v>
      </c>
      <c r="M49" s="19" t="n">
        <f aca="false">B49*Inputs!$B$14</f>
        <v>6083.9026604</v>
      </c>
    </row>
    <row r="50" customFormat="false" ht="15" hidden="false" customHeight="false" outlineLevel="0" collapsed="false">
      <c r="A50" s="18" t="n">
        <v>46</v>
      </c>
      <c r="B50" s="19" t="n">
        <f aca="false">F49</f>
        <v>71514.601001</v>
      </c>
      <c r="C50" s="19" t="n">
        <f aca="false">IF(A50&lt;=Inputs!$B$19,Inputs!$B$21,0)</f>
        <v>5009.48714890594</v>
      </c>
      <c r="D50" s="19" t="n">
        <f aca="false">B50*Inputs!$B$20</f>
        <v>446.96625625625</v>
      </c>
      <c r="E50" s="19" t="n">
        <f aca="false">C50-D50</f>
        <v>4562.52089264969</v>
      </c>
      <c r="F50" s="19" t="n">
        <f aca="false">ROUND(B50-E50,6)</f>
        <v>66952.080108</v>
      </c>
      <c r="G50" s="19" t="n">
        <f aca="false">B50*Inputs!$B$10/12</f>
        <v>297.977504170833</v>
      </c>
      <c r="H50" s="19" t="n">
        <f aca="false">B50*Inputs!$B$11/12</f>
        <v>35.7573005005</v>
      </c>
      <c r="I50" s="19" t="n">
        <f aca="false">B50*Inputs!$B$12/12*Inputs!$B$13</f>
        <v>40.2269630630625</v>
      </c>
      <c r="J50" s="19" t="n">
        <f aca="false">D50-G50-H50-I50+IF(A50=1,Inputs!$B$22,0)</f>
        <v>73.0044885218541</v>
      </c>
      <c r="K50" s="19" t="n">
        <f aca="false">J50*Inputs!$B$16</f>
        <v>18.9811670156821</v>
      </c>
      <c r="L50" s="19" t="n">
        <f aca="false">J50-K50</f>
        <v>54.0233215061721</v>
      </c>
      <c r="M50" s="19" t="n">
        <f aca="false">B50*Inputs!$B$14</f>
        <v>5721.16808008</v>
      </c>
    </row>
    <row r="51" customFormat="false" ht="15" hidden="false" customHeight="false" outlineLevel="0" collapsed="false">
      <c r="A51" s="18" t="n">
        <v>47</v>
      </c>
      <c r="B51" s="19" t="n">
        <f aca="false">F50</f>
        <v>66952.080108</v>
      </c>
      <c r="C51" s="19" t="n">
        <f aca="false">IF(A51&lt;=Inputs!$B$19,Inputs!$B$21,0)</f>
        <v>5009.48714890594</v>
      </c>
      <c r="D51" s="19" t="n">
        <f aca="false">B51*Inputs!$B$20</f>
        <v>418.450500675</v>
      </c>
      <c r="E51" s="19" t="n">
        <f aca="false">C51-D51</f>
        <v>4591.03664823094</v>
      </c>
      <c r="F51" s="19" t="n">
        <f aca="false">ROUND(B51-E51,6)</f>
        <v>62361.04346</v>
      </c>
      <c r="G51" s="19" t="n">
        <f aca="false">B51*Inputs!$B$10/12</f>
        <v>278.96700045</v>
      </c>
      <c r="H51" s="19" t="n">
        <f aca="false">B51*Inputs!$B$11/12</f>
        <v>33.476040054</v>
      </c>
      <c r="I51" s="19" t="n">
        <f aca="false">B51*Inputs!$B$12/12*Inputs!$B$13</f>
        <v>37.66054506075</v>
      </c>
      <c r="J51" s="19" t="n">
        <f aca="false">D51-G51-H51-I51+IF(A51=1,Inputs!$B$22,0)</f>
        <v>68.3469151102499</v>
      </c>
      <c r="K51" s="19" t="n">
        <f aca="false">J51*Inputs!$B$16</f>
        <v>17.770197928665</v>
      </c>
      <c r="L51" s="19" t="n">
        <f aca="false">J51-K51</f>
        <v>50.576717181585</v>
      </c>
      <c r="M51" s="19" t="n">
        <f aca="false">B51*Inputs!$B$14</f>
        <v>5356.16640864</v>
      </c>
    </row>
    <row r="52" customFormat="false" ht="15" hidden="false" customHeight="false" outlineLevel="0" collapsed="false">
      <c r="A52" s="18" t="n">
        <v>48</v>
      </c>
      <c r="B52" s="19" t="n">
        <f aca="false">F51</f>
        <v>62361.04346</v>
      </c>
      <c r="C52" s="19" t="n">
        <f aca="false">IF(A52&lt;=Inputs!$B$19,Inputs!$B$21,0)</f>
        <v>5009.48714890594</v>
      </c>
      <c r="D52" s="19" t="n">
        <f aca="false">B52*Inputs!$B$20</f>
        <v>389.756521625</v>
      </c>
      <c r="E52" s="19" t="n">
        <f aca="false">C52-D52</f>
        <v>4619.73062728094</v>
      </c>
      <c r="F52" s="19" t="n">
        <f aca="false">ROUND(B52-E52,6)</f>
        <v>57741.312833</v>
      </c>
      <c r="G52" s="19" t="n">
        <f aca="false">B52*Inputs!$B$10/12</f>
        <v>259.837681083333</v>
      </c>
      <c r="H52" s="19" t="n">
        <f aca="false">B52*Inputs!$B$11/12</f>
        <v>31.18052173</v>
      </c>
      <c r="I52" s="19" t="n">
        <f aca="false">B52*Inputs!$B$12/12*Inputs!$B$13</f>
        <v>35.07808694625</v>
      </c>
      <c r="J52" s="19" t="n">
        <f aca="false">D52-G52-H52-I52+IF(A52=1,Inputs!$B$22,0)</f>
        <v>63.6602318654166</v>
      </c>
      <c r="K52" s="19" t="n">
        <f aca="false">J52*Inputs!$B$16</f>
        <v>16.5516602850083</v>
      </c>
      <c r="L52" s="19" t="n">
        <f aca="false">J52-K52</f>
        <v>47.1085715804083</v>
      </c>
      <c r="M52" s="19" t="n">
        <f aca="false">B52*Inputs!$B$14</f>
        <v>4988.8834768</v>
      </c>
    </row>
    <row r="53" customFormat="false" ht="15" hidden="false" customHeight="false" outlineLevel="0" collapsed="false">
      <c r="A53" s="18" t="n">
        <v>49</v>
      </c>
      <c r="B53" s="19" t="n">
        <f aca="false">F52</f>
        <v>57741.312833</v>
      </c>
      <c r="C53" s="19" t="n">
        <f aca="false">IF(A53&lt;=Inputs!$B$19,Inputs!$B$21,0)</f>
        <v>5009.48714890594</v>
      </c>
      <c r="D53" s="19" t="n">
        <f aca="false">B53*Inputs!$B$20</f>
        <v>360.88320520625</v>
      </c>
      <c r="E53" s="19" t="n">
        <f aca="false">C53-D53</f>
        <v>4648.60394369969</v>
      </c>
      <c r="F53" s="19" t="n">
        <f aca="false">ROUND(B53-E53,6)</f>
        <v>53092.708889</v>
      </c>
      <c r="G53" s="19" t="n">
        <f aca="false">B53*Inputs!$B$10/12</f>
        <v>240.588803470833</v>
      </c>
      <c r="H53" s="19" t="n">
        <f aca="false">B53*Inputs!$B$11/12</f>
        <v>28.8706564165</v>
      </c>
      <c r="I53" s="19" t="n">
        <f aca="false">B53*Inputs!$B$12/12*Inputs!$B$13</f>
        <v>32.4794884685625</v>
      </c>
      <c r="J53" s="19" t="n">
        <f aca="false">D53-G53-H53-I53+IF(A53=1,Inputs!$B$22,0)</f>
        <v>58.9442568503541</v>
      </c>
      <c r="K53" s="19" t="n">
        <f aca="false">J53*Inputs!$B$16</f>
        <v>15.3255067810921</v>
      </c>
      <c r="L53" s="19" t="n">
        <f aca="false">J53-K53</f>
        <v>43.6187500692621</v>
      </c>
      <c r="M53" s="19" t="n">
        <f aca="false">B53*Inputs!$B$14</f>
        <v>4619.30502664</v>
      </c>
    </row>
    <row r="54" customFormat="false" ht="15" hidden="false" customHeight="false" outlineLevel="0" collapsed="false">
      <c r="A54" s="18" t="n">
        <v>50</v>
      </c>
      <c r="B54" s="19" t="n">
        <f aca="false">F53</f>
        <v>53092.708889</v>
      </c>
      <c r="C54" s="19" t="n">
        <f aca="false">IF(A54&lt;=Inputs!$B$19,Inputs!$B$21,0)</f>
        <v>5009.48714890594</v>
      </c>
      <c r="D54" s="19" t="n">
        <f aca="false">B54*Inputs!$B$20</f>
        <v>331.82943055625</v>
      </c>
      <c r="E54" s="19" t="n">
        <f aca="false">C54-D54</f>
        <v>4677.65771834969</v>
      </c>
      <c r="F54" s="19" t="n">
        <f aca="false">ROUND(B54-E54,6)</f>
        <v>48415.051171</v>
      </c>
      <c r="G54" s="19" t="n">
        <f aca="false">B54*Inputs!$B$10/12</f>
        <v>221.219620370833</v>
      </c>
      <c r="H54" s="19" t="n">
        <f aca="false">B54*Inputs!$B$11/12</f>
        <v>26.5463544445</v>
      </c>
      <c r="I54" s="19" t="n">
        <f aca="false">B54*Inputs!$B$12/12*Inputs!$B$13</f>
        <v>29.8646487500625</v>
      </c>
      <c r="J54" s="19" t="n">
        <f aca="false">D54-G54-H54-I54+IF(A54=1,Inputs!$B$22,0)</f>
        <v>54.1988069908541</v>
      </c>
      <c r="K54" s="19" t="n">
        <f aca="false">J54*Inputs!$B$16</f>
        <v>14.0916898176221</v>
      </c>
      <c r="L54" s="19" t="n">
        <f aca="false">J54-K54</f>
        <v>40.1071171732321</v>
      </c>
      <c r="M54" s="19" t="n">
        <f aca="false">B54*Inputs!$B$14</f>
        <v>4247.41671112</v>
      </c>
    </row>
    <row r="55" customFormat="false" ht="15" hidden="false" customHeight="false" outlineLevel="0" collapsed="false">
      <c r="A55" s="18" t="n">
        <v>51</v>
      </c>
      <c r="B55" s="19" t="n">
        <f aca="false">F54</f>
        <v>48415.051171</v>
      </c>
      <c r="C55" s="19" t="n">
        <f aca="false">IF(A55&lt;=Inputs!$B$19,Inputs!$B$21,0)</f>
        <v>5009.48714890594</v>
      </c>
      <c r="D55" s="19" t="n">
        <f aca="false">B55*Inputs!$B$20</f>
        <v>302.59406981875</v>
      </c>
      <c r="E55" s="19" t="n">
        <f aca="false">C55-D55</f>
        <v>4706.89307908719</v>
      </c>
      <c r="F55" s="19" t="n">
        <f aca="false">ROUND(B55-E55,6)</f>
        <v>43708.158092</v>
      </c>
      <c r="G55" s="19" t="n">
        <f aca="false">B55*Inputs!$B$10/12</f>
        <v>201.729379879167</v>
      </c>
      <c r="H55" s="19" t="n">
        <f aca="false">B55*Inputs!$B$11/12</f>
        <v>24.2075255855</v>
      </c>
      <c r="I55" s="19" t="n">
        <f aca="false">B55*Inputs!$B$12/12*Inputs!$B$13</f>
        <v>27.2334662836875</v>
      </c>
      <c r="J55" s="19" t="n">
        <f aca="false">D55-G55-H55-I55+IF(A55=1,Inputs!$B$22,0)</f>
        <v>49.4236980703958</v>
      </c>
      <c r="K55" s="19" t="n">
        <f aca="false">J55*Inputs!$B$16</f>
        <v>12.8501614983029</v>
      </c>
      <c r="L55" s="19" t="n">
        <f aca="false">J55-K55</f>
        <v>36.5735365720929</v>
      </c>
      <c r="M55" s="19" t="n">
        <f aca="false">B55*Inputs!$B$14</f>
        <v>3873.20409368</v>
      </c>
    </row>
    <row r="56" customFormat="false" ht="15" hidden="false" customHeight="false" outlineLevel="0" collapsed="false">
      <c r="A56" s="18" t="n">
        <v>52</v>
      </c>
      <c r="B56" s="19" t="n">
        <f aca="false">F55</f>
        <v>43708.158092</v>
      </c>
      <c r="C56" s="19" t="n">
        <f aca="false">IF(A56&lt;=Inputs!$B$19,Inputs!$B$21,0)</f>
        <v>5009.48714890594</v>
      </c>
      <c r="D56" s="19" t="n">
        <f aca="false">B56*Inputs!$B$20</f>
        <v>273.175988075</v>
      </c>
      <c r="E56" s="19" t="n">
        <f aca="false">C56-D56</f>
        <v>4736.31116083094</v>
      </c>
      <c r="F56" s="19" t="n">
        <f aca="false">ROUND(B56-E56,6)</f>
        <v>38971.846931</v>
      </c>
      <c r="G56" s="19" t="n">
        <f aca="false">B56*Inputs!$B$10/12</f>
        <v>182.117325383333</v>
      </c>
      <c r="H56" s="19" t="n">
        <f aca="false">B56*Inputs!$B$11/12</f>
        <v>21.854079046</v>
      </c>
      <c r="I56" s="19" t="n">
        <f aca="false">B56*Inputs!$B$12/12*Inputs!$B$13</f>
        <v>24.58583892675</v>
      </c>
      <c r="J56" s="19" t="n">
        <f aca="false">D56-G56-H56-I56+IF(A56=1,Inputs!$B$22,0)</f>
        <v>44.6187447189166</v>
      </c>
      <c r="K56" s="19" t="n">
        <f aca="false">J56*Inputs!$B$16</f>
        <v>11.6008736269183</v>
      </c>
      <c r="L56" s="19" t="n">
        <f aca="false">J56-K56</f>
        <v>33.0178710919983</v>
      </c>
      <c r="M56" s="19" t="n">
        <f aca="false">B56*Inputs!$B$14</f>
        <v>3496.65264736</v>
      </c>
    </row>
    <row r="57" customFormat="false" ht="15" hidden="false" customHeight="false" outlineLevel="0" collapsed="false">
      <c r="A57" s="18" t="n">
        <v>53</v>
      </c>
      <c r="B57" s="19" t="n">
        <f aca="false">F56</f>
        <v>38971.846931</v>
      </c>
      <c r="C57" s="19" t="n">
        <f aca="false">IF(A57&lt;=Inputs!$B$19,Inputs!$B$21,0)</f>
        <v>5009.48714890594</v>
      </c>
      <c r="D57" s="19" t="n">
        <f aca="false">B57*Inputs!$B$20</f>
        <v>243.57404331875</v>
      </c>
      <c r="E57" s="19" t="n">
        <f aca="false">C57-D57</f>
        <v>4765.91310558719</v>
      </c>
      <c r="F57" s="19" t="n">
        <f aca="false">ROUND(B57-E57,6)</f>
        <v>34205.933825</v>
      </c>
      <c r="G57" s="19" t="n">
        <f aca="false">B57*Inputs!$B$10/12</f>
        <v>162.382695545833</v>
      </c>
      <c r="H57" s="19" t="n">
        <f aca="false">B57*Inputs!$B$11/12</f>
        <v>19.4859234655</v>
      </c>
      <c r="I57" s="19" t="n">
        <f aca="false">B57*Inputs!$B$12/12*Inputs!$B$13</f>
        <v>21.9216638986875</v>
      </c>
      <c r="J57" s="19" t="n">
        <f aca="false">D57-G57-H57-I57+IF(A57=1,Inputs!$B$22,0)</f>
        <v>39.7837604087291</v>
      </c>
      <c r="K57" s="19" t="n">
        <f aca="false">J57*Inputs!$B$16</f>
        <v>10.3437777062696</v>
      </c>
      <c r="L57" s="19" t="n">
        <f aca="false">J57-K57</f>
        <v>29.4399827024596</v>
      </c>
      <c r="M57" s="19" t="n">
        <f aca="false">B57*Inputs!$B$14</f>
        <v>3117.74775448</v>
      </c>
    </row>
    <row r="58" customFormat="false" ht="15" hidden="false" customHeight="false" outlineLevel="0" collapsed="false">
      <c r="A58" s="18" t="n">
        <v>54</v>
      </c>
      <c r="B58" s="19" t="n">
        <f aca="false">F57</f>
        <v>34205.933825</v>
      </c>
      <c r="C58" s="19" t="n">
        <f aca="false">IF(A58&lt;=Inputs!$B$19,Inputs!$B$21,0)</f>
        <v>5009.48714890594</v>
      </c>
      <c r="D58" s="19" t="n">
        <f aca="false">B58*Inputs!$B$20</f>
        <v>213.78708640625</v>
      </c>
      <c r="E58" s="19" t="n">
        <f aca="false">C58-D58</f>
        <v>4795.70006249969</v>
      </c>
      <c r="F58" s="19" t="n">
        <f aca="false">ROUND(B58-E58,6)</f>
        <v>29410.233763</v>
      </c>
      <c r="G58" s="19" t="n">
        <f aca="false">B58*Inputs!$B$10/12</f>
        <v>142.524724270833</v>
      </c>
      <c r="H58" s="19" t="n">
        <f aca="false">B58*Inputs!$B$11/12</f>
        <v>17.1029669125</v>
      </c>
      <c r="I58" s="19" t="n">
        <f aca="false">B58*Inputs!$B$12/12*Inputs!$B$13</f>
        <v>19.2408377765625</v>
      </c>
      <c r="J58" s="19" t="n">
        <f aca="false">D58-G58-H58-I58+IF(A58=1,Inputs!$B$22,0)</f>
        <v>34.9185574463542</v>
      </c>
      <c r="K58" s="19" t="n">
        <f aca="false">J58*Inputs!$B$16</f>
        <v>9.07882493605208</v>
      </c>
      <c r="L58" s="19" t="n">
        <f aca="false">J58-K58</f>
        <v>25.8397325103021</v>
      </c>
      <c r="M58" s="19" t="n">
        <f aca="false">B58*Inputs!$B$14</f>
        <v>2736.474706</v>
      </c>
    </row>
    <row r="59" customFormat="false" ht="15" hidden="false" customHeight="false" outlineLevel="0" collapsed="false">
      <c r="A59" s="18" t="n">
        <v>55</v>
      </c>
      <c r="B59" s="19" t="n">
        <f aca="false">F58</f>
        <v>29410.233763</v>
      </c>
      <c r="C59" s="19" t="n">
        <f aca="false">IF(A59&lt;=Inputs!$B$19,Inputs!$B$21,0)</f>
        <v>5009.48714890594</v>
      </c>
      <c r="D59" s="19" t="n">
        <f aca="false">B59*Inputs!$B$20</f>
        <v>183.81396101875</v>
      </c>
      <c r="E59" s="19" t="n">
        <f aca="false">C59-D59</f>
        <v>4825.67318788719</v>
      </c>
      <c r="F59" s="19" t="n">
        <f aca="false">ROUND(B59-E59,6)</f>
        <v>24584.560575</v>
      </c>
      <c r="G59" s="19" t="n">
        <f aca="false">B59*Inputs!$B$10/12</f>
        <v>122.542640679167</v>
      </c>
      <c r="H59" s="19" t="n">
        <f aca="false">B59*Inputs!$B$11/12</f>
        <v>14.7051168815</v>
      </c>
      <c r="I59" s="19" t="n">
        <f aca="false">B59*Inputs!$B$12/12*Inputs!$B$13</f>
        <v>16.5432564916875</v>
      </c>
      <c r="J59" s="19" t="n">
        <f aca="false">D59-G59-H59-I59+IF(A59=1,Inputs!$B$22,0)</f>
        <v>30.0229469663958</v>
      </c>
      <c r="K59" s="19" t="n">
        <f aca="false">J59*Inputs!$B$16</f>
        <v>7.80596621126291</v>
      </c>
      <c r="L59" s="19" t="n">
        <f aca="false">J59-K59</f>
        <v>22.2169807551329</v>
      </c>
      <c r="M59" s="19" t="n">
        <f aca="false">B59*Inputs!$B$14</f>
        <v>2352.81870104</v>
      </c>
    </row>
    <row r="60" customFormat="false" ht="15" hidden="false" customHeight="false" outlineLevel="0" collapsed="false">
      <c r="A60" s="18" t="n">
        <v>56</v>
      </c>
      <c r="B60" s="19" t="n">
        <f aca="false">F59</f>
        <v>24584.560575</v>
      </c>
      <c r="C60" s="19" t="n">
        <f aca="false">IF(A60&lt;=Inputs!$B$19,Inputs!$B$21,0)</f>
        <v>5009.48714890594</v>
      </c>
      <c r="D60" s="19" t="n">
        <f aca="false">B60*Inputs!$B$20</f>
        <v>153.65350359375</v>
      </c>
      <c r="E60" s="19" t="n">
        <f aca="false">C60-D60</f>
        <v>4855.83364531219</v>
      </c>
      <c r="F60" s="19" t="n">
        <f aca="false">ROUND(B60-E60,6)</f>
        <v>19728.72693</v>
      </c>
      <c r="G60" s="19" t="n">
        <f aca="false">B60*Inputs!$B$10/12</f>
        <v>102.4356690625</v>
      </c>
      <c r="H60" s="19" t="n">
        <f aca="false">B60*Inputs!$B$11/12</f>
        <v>12.2922802875</v>
      </c>
      <c r="I60" s="19" t="n">
        <f aca="false">B60*Inputs!$B$12/12*Inputs!$B$13</f>
        <v>13.8288153234375</v>
      </c>
      <c r="J60" s="19" t="n">
        <f aca="false">D60-G60-H60-I60+IF(A60=1,Inputs!$B$22,0)</f>
        <v>25.0967389203125</v>
      </c>
      <c r="K60" s="19" t="n">
        <f aca="false">J60*Inputs!$B$16</f>
        <v>6.52515211928124</v>
      </c>
      <c r="L60" s="19" t="n">
        <f aca="false">J60-K60</f>
        <v>18.5715868010312</v>
      </c>
      <c r="M60" s="19" t="n">
        <f aca="false">B60*Inputs!$B$14</f>
        <v>1966.764846</v>
      </c>
    </row>
    <row r="61" customFormat="false" ht="15" hidden="false" customHeight="false" outlineLevel="0" collapsed="false">
      <c r="A61" s="18" t="n">
        <v>57</v>
      </c>
      <c r="B61" s="19" t="n">
        <f aca="false">F60</f>
        <v>19728.72693</v>
      </c>
      <c r="C61" s="19" t="n">
        <f aca="false">IF(A61&lt;=Inputs!$B$19,Inputs!$B$21,0)</f>
        <v>5009.48714890594</v>
      </c>
      <c r="D61" s="19" t="n">
        <f aca="false">B61*Inputs!$B$20</f>
        <v>123.3045433125</v>
      </c>
      <c r="E61" s="19" t="n">
        <f aca="false">C61-D61</f>
        <v>4886.18260559344</v>
      </c>
      <c r="F61" s="19" t="n">
        <f aca="false">ROUND(B61-E61,6)</f>
        <v>14842.544324</v>
      </c>
      <c r="G61" s="19" t="n">
        <f aca="false">B61*Inputs!$B$10/12</f>
        <v>82.203028875</v>
      </c>
      <c r="H61" s="19" t="n">
        <f aca="false">B61*Inputs!$B$11/12</f>
        <v>9.864363465</v>
      </c>
      <c r="I61" s="19" t="n">
        <f aca="false">B61*Inputs!$B$12/12*Inputs!$B$13</f>
        <v>11.097408898125</v>
      </c>
      <c r="J61" s="19" t="n">
        <f aca="false">D61-G61-H61-I61+IF(A61=1,Inputs!$B$22,0)</f>
        <v>20.139742074375</v>
      </c>
      <c r="K61" s="19" t="n">
        <f aca="false">J61*Inputs!$B$16</f>
        <v>5.23633293933749</v>
      </c>
      <c r="L61" s="19" t="n">
        <f aca="false">J61-K61</f>
        <v>14.9034091350375</v>
      </c>
      <c r="M61" s="19" t="n">
        <f aca="false">B61*Inputs!$B$14</f>
        <v>1578.2981544</v>
      </c>
    </row>
    <row r="62" customFormat="false" ht="15" hidden="false" customHeight="false" outlineLevel="0" collapsed="false">
      <c r="A62" s="18" t="n">
        <v>58</v>
      </c>
      <c r="B62" s="19" t="n">
        <f aca="false">F61</f>
        <v>14842.544324</v>
      </c>
      <c r="C62" s="19" t="n">
        <f aca="false">IF(A62&lt;=Inputs!$B$19,Inputs!$B$21,0)</f>
        <v>5009.48714890594</v>
      </c>
      <c r="D62" s="19" t="n">
        <f aca="false">B62*Inputs!$B$20</f>
        <v>92.765902025</v>
      </c>
      <c r="E62" s="19" t="n">
        <f aca="false">C62-D62</f>
        <v>4916.72124688094</v>
      </c>
      <c r="F62" s="19" t="n">
        <f aca="false">ROUND(B62-E62,6)</f>
        <v>9925.823077</v>
      </c>
      <c r="G62" s="19" t="n">
        <f aca="false">B62*Inputs!$B$10/12</f>
        <v>61.8439346833333</v>
      </c>
      <c r="H62" s="19" t="n">
        <f aca="false">B62*Inputs!$B$11/12</f>
        <v>7.421272162</v>
      </c>
      <c r="I62" s="19" t="n">
        <f aca="false">B62*Inputs!$B$12/12*Inputs!$B$13</f>
        <v>8.34893118225</v>
      </c>
      <c r="J62" s="19" t="n">
        <f aca="false">D62-G62-H62-I62+IF(A62=1,Inputs!$B$22,0)</f>
        <v>15.1517639974167</v>
      </c>
      <c r="K62" s="19" t="n">
        <f aca="false">J62*Inputs!$B$16</f>
        <v>3.93945863932833</v>
      </c>
      <c r="L62" s="19" t="n">
        <f aca="false">J62-K62</f>
        <v>11.2123053580883</v>
      </c>
      <c r="M62" s="19" t="n">
        <f aca="false">B62*Inputs!$B$14</f>
        <v>1187.40354592</v>
      </c>
    </row>
    <row r="63" customFormat="false" ht="15" hidden="false" customHeight="false" outlineLevel="0" collapsed="false">
      <c r="A63" s="18" t="n">
        <v>59</v>
      </c>
      <c r="B63" s="19" t="n">
        <f aca="false">F62</f>
        <v>9925.823077</v>
      </c>
      <c r="C63" s="19" t="n">
        <f aca="false">IF(A63&lt;=Inputs!$B$19,Inputs!$B$21,0)</f>
        <v>5009.48714890594</v>
      </c>
      <c r="D63" s="19" t="n">
        <f aca="false">B63*Inputs!$B$20</f>
        <v>62.03639423125</v>
      </c>
      <c r="E63" s="19" t="n">
        <f aca="false">C63-D63</f>
        <v>4947.45075467469</v>
      </c>
      <c r="F63" s="19" t="n">
        <f aca="false">ROUND(B63-E63,6)</f>
        <v>4978.372322</v>
      </c>
      <c r="G63" s="19" t="n">
        <f aca="false">B63*Inputs!$B$10/12</f>
        <v>41.3575961541667</v>
      </c>
      <c r="H63" s="19" t="n">
        <f aca="false">B63*Inputs!$B$11/12</f>
        <v>4.9629115385</v>
      </c>
      <c r="I63" s="19" t="n">
        <f aca="false">B63*Inputs!$B$12/12*Inputs!$B$13</f>
        <v>5.5832754808125</v>
      </c>
      <c r="J63" s="19" t="n">
        <f aca="false">D63-G63-H63-I63+IF(A63=1,Inputs!$B$22,0)</f>
        <v>10.1326110577708</v>
      </c>
      <c r="K63" s="19" t="n">
        <f aca="false">J63*Inputs!$B$16</f>
        <v>2.63447887502041</v>
      </c>
      <c r="L63" s="19" t="n">
        <f aca="false">J63-K63</f>
        <v>7.49813218275041</v>
      </c>
      <c r="M63" s="19" t="n">
        <f aca="false">B63*Inputs!$B$14</f>
        <v>794.06584616</v>
      </c>
    </row>
    <row r="64" customFormat="false" ht="15" hidden="false" customHeight="false" outlineLevel="0" collapsed="false">
      <c r="A64" s="18" t="n">
        <v>60</v>
      </c>
      <c r="B64" s="19" t="n">
        <f aca="false">F63</f>
        <v>4978.372322</v>
      </c>
      <c r="C64" s="19" t="n">
        <f aca="false">IF(A64&lt;=Inputs!$B$19,Inputs!$B$21,0)</f>
        <v>5009.48714890594</v>
      </c>
      <c r="D64" s="19" t="n">
        <f aca="false">B64*Inputs!$B$20</f>
        <v>31.1148270125</v>
      </c>
      <c r="E64" s="19" t="n">
        <f aca="false">C64-D64</f>
        <v>4978.37232189344</v>
      </c>
      <c r="F64" s="19" t="n">
        <f aca="false">ROUND(B64-E64,6)</f>
        <v>0</v>
      </c>
      <c r="G64" s="19" t="n">
        <f aca="false">B64*Inputs!$B$10/12</f>
        <v>20.7432180083333</v>
      </c>
      <c r="H64" s="19" t="n">
        <f aca="false">B64*Inputs!$B$11/12</f>
        <v>2.489186161</v>
      </c>
      <c r="I64" s="19" t="n">
        <f aca="false">B64*Inputs!$B$12/12*Inputs!$B$13</f>
        <v>2.800334431125</v>
      </c>
      <c r="J64" s="19" t="n">
        <f aca="false">D64-G64-H64-I64+IF(A64=1,Inputs!$B$22,0)</f>
        <v>5.08208841204166</v>
      </c>
      <c r="K64" s="19" t="n">
        <f aca="false">J64*Inputs!$B$16</f>
        <v>1.32134298713083</v>
      </c>
      <c r="L64" s="19" t="n">
        <f aca="false">J64-K64</f>
        <v>3.76074542491083</v>
      </c>
      <c r="M64" s="19" t="n">
        <f aca="false">B64*Inputs!$B$14</f>
        <v>398.26978576</v>
      </c>
    </row>
    <row r="65" customFormat="false" ht="15" hidden="false" customHeight="false" outlineLevel="0" collapsed="false">
      <c r="A65" s="18" t="n">
        <v>61</v>
      </c>
      <c r="B65" s="19" t="n">
        <f aca="false">F64</f>
        <v>0</v>
      </c>
      <c r="C65" s="19" t="n">
        <f aca="false">IF(A65&lt;=Inputs!$B$19,Inputs!$B$21,0)</f>
        <v>0</v>
      </c>
      <c r="D65" s="19" t="n">
        <f aca="false">B65*Inputs!$B$20</f>
        <v>0</v>
      </c>
      <c r="E65" s="19" t="n">
        <f aca="false">C65-D65</f>
        <v>0</v>
      </c>
      <c r="F65" s="19" t="n">
        <f aca="false">ROUND(B65-E65,6)</f>
        <v>0</v>
      </c>
      <c r="G65" s="19" t="n">
        <f aca="false">B65*Inputs!$B$10/12</f>
        <v>0</v>
      </c>
      <c r="H65" s="19" t="n">
        <f aca="false">B65*Inputs!$B$11/12</f>
        <v>0</v>
      </c>
      <c r="I65" s="19" t="n">
        <f aca="false">B65*Inputs!$B$12/12*Inputs!$B$13</f>
        <v>0</v>
      </c>
      <c r="J65" s="19" t="n">
        <f aca="false">D65-G65-H65-I65+IF(A65=1,Inputs!$B$22,0)</f>
        <v>0</v>
      </c>
      <c r="K65" s="19" t="n">
        <f aca="false">J65*Inputs!$B$16</f>
        <v>0</v>
      </c>
      <c r="L65" s="19" t="n">
        <f aca="false">J65-K65</f>
        <v>0</v>
      </c>
      <c r="M65" s="19" t="n">
        <f aca="false">B65*Inputs!$B$14</f>
        <v>0</v>
      </c>
    </row>
    <row r="66" customFormat="false" ht="15" hidden="false" customHeight="false" outlineLevel="0" collapsed="false">
      <c r="A66" s="18" t="n">
        <v>62</v>
      </c>
      <c r="B66" s="19" t="n">
        <f aca="false">F65</f>
        <v>0</v>
      </c>
      <c r="C66" s="19" t="n">
        <f aca="false">IF(A66&lt;=Inputs!$B$19,Inputs!$B$21,0)</f>
        <v>0</v>
      </c>
      <c r="D66" s="19" t="n">
        <f aca="false">B66*Inputs!$B$20</f>
        <v>0</v>
      </c>
      <c r="E66" s="19" t="n">
        <f aca="false">C66-D66</f>
        <v>0</v>
      </c>
      <c r="F66" s="19" t="n">
        <f aca="false">ROUND(B66-E66,6)</f>
        <v>0</v>
      </c>
      <c r="G66" s="19" t="n">
        <f aca="false">B66*Inputs!$B$10/12</f>
        <v>0</v>
      </c>
      <c r="H66" s="19" t="n">
        <f aca="false">B66*Inputs!$B$11/12</f>
        <v>0</v>
      </c>
      <c r="I66" s="19" t="n">
        <f aca="false">B66*Inputs!$B$12/12*Inputs!$B$13</f>
        <v>0</v>
      </c>
      <c r="J66" s="19" t="n">
        <f aca="false">D66-G66-H66-I66+IF(A66=1,Inputs!$B$22,0)</f>
        <v>0</v>
      </c>
      <c r="K66" s="19" t="n">
        <f aca="false">J66*Inputs!$B$16</f>
        <v>0</v>
      </c>
      <c r="L66" s="19" t="n">
        <f aca="false">J66-K66</f>
        <v>0</v>
      </c>
      <c r="M66" s="19" t="n">
        <f aca="false">B66*Inputs!$B$14</f>
        <v>0</v>
      </c>
    </row>
    <row r="67" customFormat="false" ht="15" hidden="false" customHeight="false" outlineLevel="0" collapsed="false">
      <c r="A67" s="18" t="n">
        <v>63</v>
      </c>
      <c r="B67" s="19" t="n">
        <f aca="false">F66</f>
        <v>0</v>
      </c>
      <c r="C67" s="19" t="n">
        <f aca="false">IF(A67&lt;=Inputs!$B$19,Inputs!$B$21,0)</f>
        <v>0</v>
      </c>
      <c r="D67" s="19" t="n">
        <f aca="false">B67*Inputs!$B$20</f>
        <v>0</v>
      </c>
      <c r="E67" s="19" t="n">
        <f aca="false">C67-D67</f>
        <v>0</v>
      </c>
      <c r="F67" s="19" t="n">
        <f aca="false">ROUND(B67-E67,6)</f>
        <v>0</v>
      </c>
      <c r="G67" s="19" t="n">
        <f aca="false">B67*Inputs!$B$10/12</f>
        <v>0</v>
      </c>
      <c r="H67" s="19" t="n">
        <f aca="false">B67*Inputs!$B$11/12</f>
        <v>0</v>
      </c>
      <c r="I67" s="19" t="n">
        <f aca="false">B67*Inputs!$B$12/12*Inputs!$B$13</f>
        <v>0</v>
      </c>
      <c r="J67" s="19" t="n">
        <f aca="false">D67-G67-H67-I67+IF(A67=1,Inputs!$B$22,0)</f>
        <v>0</v>
      </c>
      <c r="K67" s="19" t="n">
        <f aca="false">J67*Inputs!$B$16</f>
        <v>0</v>
      </c>
      <c r="L67" s="19" t="n">
        <f aca="false">J67-K67</f>
        <v>0</v>
      </c>
      <c r="M67" s="19" t="n">
        <f aca="false">B67*Inputs!$B$14</f>
        <v>0</v>
      </c>
    </row>
    <row r="68" customFormat="false" ht="15" hidden="false" customHeight="false" outlineLevel="0" collapsed="false">
      <c r="A68" s="18" t="n">
        <v>64</v>
      </c>
      <c r="B68" s="19" t="n">
        <f aca="false">F67</f>
        <v>0</v>
      </c>
      <c r="C68" s="19" t="n">
        <f aca="false">IF(A68&lt;=Inputs!$B$19,Inputs!$B$21,0)</f>
        <v>0</v>
      </c>
      <c r="D68" s="19" t="n">
        <f aca="false">B68*Inputs!$B$20</f>
        <v>0</v>
      </c>
      <c r="E68" s="19" t="n">
        <f aca="false">C68-D68</f>
        <v>0</v>
      </c>
      <c r="F68" s="19" t="n">
        <f aca="false">ROUND(B68-E68,6)</f>
        <v>0</v>
      </c>
      <c r="G68" s="19" t="n">
        <f aca="false">B68*Inputs!$B$10/12</f>
        <v>0</v>
      </c>
      <c r="H68" s="19" t="n">
        <f aca="false">B68*Inputs!$B$11/12</f>
        <v>0</v>
      </c>
      <c r="I68" s="19" t="n">
        <f aca="false">B68*Inputs!$B$12/12*Inputs!$B$13</f>
        <v>0</v>
      </c>
      <c r="J68" s="19" t="n">
        <f aca="false">D68-G68-H68-I68+IF(A68=1,Inputs!$B$22,0)</f>
        <v>0</v>
      </c>
      <c r="K68" s="19" t="n">
        <f aca="false">J68*Inputs!$B$16</f>
        <v>0</v>
      </c>
      <c r="L68" s="19" t="n">
        <f aca="false">J68-K68</f>
        <v>0</v>
      </c>
      <c r="M68" s="19" t="n">
        <f aca="false">B68*Inputs!$B$14</f>
        <v>0</v>
      </c>
    </row>
    <row r="69" customFormat="false" ht="15" hidden="false" customHeight="false" outlineLevel="0" collapsed="false">
      <c r="A69" s="18" t="n">
        <v>65</v>
      </c>
      <c r="B69" s="19" t="n">
        <f aca="false">F68</f>
        <v>0</v>
      </c>
      <c r="C69" s="19" t="n">
        <f aca="false">IF(A69&lt;=Inputs!$B$19,Inputs!$B$21,0)</f>
        <v>0</v>
      </c>
      <c r="D69" s="19" t="n">
        <f aca="false">B69*Inputs!$B$20</f>
        <v>0</v>
      </c>
      <c r="E69" s="19" t="n">
        <f aca="false">C69-D69</f>
        <v>0</v>
      </c>
      <c r="F69" s="19" t="n">
        <f aca="false">ROUND(B69-E69,6)</f>
        <v>0</v>
      </c>
      <c r="G69" s="19" t="n">
        <f aca="false">B69*Inputs!$B$10/12</f>
        <v>0</v>
      </c>
      <c r="H69" s="19" t="n">
        <f aca="false">B69*Inputs!$B$11/12</f>
        <v>0</v>
      </c>
      <c r="I69" s="19" t="n">
        <f aca="false">B69*Inputs!$B$12/12*Inputs!$B$13</f>
        <v>0</v>
      </c>
      <c r="J69" s="19" t="n">
        <f aca="false">D69-G69-H69-I69+IF(A69=1,Inputs!$B$22,0)</f>
        <v>0</v>
      </c>
      <c r="K69" s="19" t="n">
        <f aca="false">J69*Inputs!$B$16</f>
        <v>0</v>
      </c>
      <c r="L69" s="19" t="n">
        <f aca="false">J69-K69</f>
        <v>0</v>
      </c>
      <c r="M69" s="19" t="n">
        <f aca="false">B69*Inputs!$B$14</f>
        <v>0</v>
      </c>
    </row>
    <row r="70" customFormat="false" ht="15" hidden="false" customHeight="false" outlineLevel="0" collapsed="false">
      <c r="A70" s="18" t="n">
        <v>66</v>
      </c>
      <c r="B70" s="19" t="n">
        <f aca="false">F69</f>
        <v>0</v>
      </c>
      <c r="C70" s="19" t="n">
        <f aca="false">IF(A70&lt;=Inputs!$B$19,Inputs!$B$21,0)</f>
        <v>0</v>
      </c>
      <c r="D70" s="19" t="n">
        <f aca="false">B70*Inputs!$B$20</f>
        <v>0</v>
      </c>
      <c r="E70" s="19" t="n">
        <f aca="false">C70-D70</f>
        <v>0</v>
      </c>
      <c r="F70" s="19" t="n">
        <f aca="false">ROUND(B70-E70,6)</f>
        <v>0</v>
      </c>
      <c r="G70" s="19" t="n">
        <f aca="false">B70*Inputs!$B$10/12</f>
        <v>0</v>
      </c>
      <c r="H70" s="19" t="n">
        <f aca="false">B70*Inputs!$B$11/12</f>
        <v>0</v>
      </c>
      <c r="I70" s="19" t="n">
        <f aca="false">B70*Inputs!$B$12/12*Inputs!$B$13</f>
        <v>0</v>
      </c>
      <c r="J70" s="19" t="n">
        <f aca="false">D70-G70-H70-I70+IF(A70=1,Inputs!$B$22,0)</f>
        <v>0</v>
      </c>
      <c r="K70" s="19" t="n">
        <f aca="false">J70*Inputs!$B$16</f>
        <v>0</v>
      </c>
      <c r="L70" s="19" t="n">
        <f aca="false">J70-K70</f>
        <v>0</v>
      </c>
      <c r="M70" s="19" t="n">
        <f aca="false">B70*Inputs!$B$14</f>
        <v>0</v>
      </c>
    </row>
    <row r="71" customFormat="false" ht="15" hidden="false" customHeight="false" outlineLevel="0" collapsed="false">
      <c r="A71" s="18" t="n">
        <v>67</v>
      </c>
      <c r="B71" s="19" t="n">
        <f aca="false">F70</f>
        <v>0</v>
      </c>
      <c r="C71" s="19" t="n">
        <f aca="false">IF(A71&lt;=Inputs!$B$19,Inputs!$B$21,0)</f>
        <v>0</v>
      </c>
      <c r="D71" s="19" t="n">
        <f aca="false">B71*Inputs!$B$20</f>
        <v>0</v>
      </c>
      <c r="E71" s="19" t="n">
        <f aca="false">C71-D71</f>
        <v>0</v>
      </c>
      <c r="F71" s="19" t="n">
        <f aca="false">ROUND(B71-E71,6)</f>
        <v>0</v>
      </c>
      <c r="G71" s="19" t="n">
        <f aca="false">B71*Inputs!$B$10/12</f>
        <v>0</v>
      </c>
      <c r="H71" s="19" t="n">
        <f aca="false">B71*Inputs!$B$11/12</f>
        <v>0</v>
      </c>
      <c r="I71" s="19" t="n">
        <f aca="false">B71*Inputs!$B$12/12*Inputs!$B$13</f>
        <v>0</v>
      </c>
      <c r="J71" s="19" t="n">
        <f aca="false">D71-G71-H71-I71+IF(A71=1,Inputs!$B$22,0)</f>
        <v>0</v>
      </c>
      <c r="K71" s="19" t="n">
        <f aca="false">J71*Inputs!$B$16</f>
        <v>0</v>
      </c>
      <c r="L71" s="19" t="n">
        <f aca="false">J71-K71</f>
        <v>0</v>
      </c>
      <c r="M71" s="19" t="n">
        <f aca="false">B71*Inputs!$B$14</f>
        <v>0</v>
      </c>
    </row>
    <row r="72" customFormat="false" ht="15" hidden="false" customHeight="false" outlineLevel="0" collapsed="false">
      <c r="A72" s="18" t="n">
        <v>68</v>
      </c>
      <c r="B72" s="19" t="n">
        <f aca="false">F71</f>
        <v>0</v>
      </c>
      <c r="C72" s="19" t="n">
        <f aca="false">IF(A72&lt;=Inputs!$B$19,Inputs!$B$21,0)</f>
        <v>0</v>
      </c>
      <c r="D72" s="19" t="n">
        <f aca="false">B72*Inputs!$B$20</f>
        <v>0</v>
      </c>
      <c r="E72" s="19" t="n">
        <f aca="false">C72-D72</f>
        <v>0</v>
      </c>
      <c r="F72" s="19" t="n">
        <f aca="false">ROUND(B72-E72,6)</f>
        <v>0</v>
      </c>
      <c r="G72" s="19" t="n">
        <f aca="false">B72*Inputs!$B$10/12</f>
        <v>0</v>
      </c>
      <c r="H72" s="19" t="n">
        <f aca="false">B72*Inputs!$B$11/12</f>
        <v>0</v>
      </c>
      <c r="I72" s="19" t="n">
        <f aca="false">B72*Inputs!$B$12/12*Inputs!$B$13</f>
        <v>0</v>
      </c>
      <c r="J72" s="19" t="n">
        <f aca="false">D72-G72-H72-I72+IF(A72=1,Inputs!$B$22,0)</f>
        <v>0</v>
      </c>
      <c r="K72" s="19" t="n">
        <f aca="false">J72*Inputs!$B$16</f>
        <v>0</v>
      </c>
      <c r="L72" s="19" t="n">
        <f aca="false">J72-K72</f>
        <v>0</v>
      </c>
      <c r="M72" s="19" t="n">
        <f aca="false">B72*Inputs!$B$14</f>
        <v>0</v>
      </c>
    </row>
    <row r="73" customFormat="false" ht="15" hidden="false" customHeight="false" outlineLevel="0" collapsed="false">
      <c r="A73" s="18" t="n">
        <v>69</v>
      </c>
      <c r="B73" s="19" t="n">
        <f aca="false">F72</f>
        <v>0</v>
      </c>
      <c r="C73" s="19" t="n">
        <f aca="false">IF(A73&lt;=Inputs!$B$19,Inputs!$B$21,0)</f>
        <v>0</v>
      </c>
      <c r="D73" s="19" t="n">
        <f aca="false">B73*Inputs!$B$20</f>
        <v>0</v>
      </c>
      <c r="E73" s="19" t="n">
        <f aca="false">C73-D73</f>
        <v>0</v>
      </c>
      <c r="F73" s="19" t="n">
        <f aca="false">ROUND(B73-E73,6)</f>
        <v>0</v>
      </c>
      <c r="G73" s="19" t="n">
        <f aca="false">B73*Inputs!$B$10/12</f>
        <v>0</v>
      </c>
      <c r="H73" s="19" t="n">
        <f aca="false">B73*Inputs!$B$11/12</f>
        <v>0</v>
      </c>
      <c r="I73" s="19" t="n">
        <f aca="false">B73*Inputs!$B$12/12*Inputs!$B$13</f>
        <v>0</v>
      </c>
      <c r="J73" s="19" t="n">
        <f aca="false">D73-G73-H73-I73+IF(A73=1,Inputs!$B$22,0)</f>
        <v>0</v>
      </c>
      <c r="K73" s="19" t="n">
        <f aca="false">J73*Inputs!$B$16</f>
        <v>0</v>
      </c>
      <c r="L73" s="19" t="n">
        <f aca="false">J73-K73</f>
        <v>0</v>
      </c>
      <c r="M73" s="19" t="n">
        <f aca="false">B73*Inputs!$B$14</f>
        <v>0</v>
      </c>
    </row>
    <row r="74" customFormat="false" ht="15" hidden="false" customHeight="false" outlineLevel="0" collapsed="false">
      <c r="A74" s="18" t="n">
        <v>70</v>
      </c>
      <c r="B74" s="19" t="n">
        <f aca="false">F73</f>
        <v>0</v>
      </c>
      <c r="C74" s="19" t="n">
        <f aca="false">IF(A74&lt;=Inputs!$B$19,Inputs!$B$21,0)</f>
        <v>0</v>
      </c>
      <c r="D74" s="19" t="n">
        <f aca="false">B74*Inputs!$B$20</f>
        <v>0</v>
      </c>
      <c r="E74" s="19" t="n">
        <f aca="false">C74-D74</f>
        <v>0</v>
      </c>
      <c r="F74" s="19" t="n">
        <f aca="false">ROUND(B74-E74,6)</f>
        <v>0</v>
      </c>
      <c r="G74" s="19" t="n">
        <f aca="false">B74*Inputs!$B$10/12</f>
        <v>0</v>
      </c>
      <c r="H74" s="19" t="n">
        <f aca="false">B74*Inputs!$B$11/12</f>
        <v>0</v>
      </c>
      <c r="I74" s="19" t="n">
        <f aca="false">B74*Inputs!$B$12/12*Inputs!$B$13</f>
        <v>0</v>
      </c>
      <c r="J74" s="19" t="n">
        <f aca="false">D74-G74-H74-I74+IF(A74=1,Inputs!$B$22,0)</f>
        <v>0</v>
      </c>
      <c r="K74" s="19" t="n">
        <f aca="false">J74*Inputs!$B$16</f>
        <v>0</v>
      </c>
      <c r="L74" s="19" t="n">
        <f aca="false">J74-K74</f>
        <v>0</v>
      </c>
      <c r="M74" s="19" t="n">
        <f aca="false">B74*Inputs!$B$14</f>
        <v>0</v>
      </c>
    </row>
    <row r="75" customFormat="false" ht="15" hidden="false" customHeight="false" outlineLevel="0" collapsed="false">
      <c r="A75" s="18" t="n">
        <v>71</v>
      </c>
      <c r="B75" s="19" t="n">
        <f aca="false">F74</f>
        <v>0</v>
      </c>
      <c r="C75" s="19" t="n">
        <f aca="false">IF(A75&lt;=Inputs!$B$19,Inputs!$B$21,0)</f>
        <v>0</v>
      </c>
      <c r="D75" s="19" t="n">
        <f aca="false">B75*Inputs!$B$20</f>
        <v>0</v>
      </c>
      <c r="E75" s="19" t="n">
        <f aca="false">C75-D75</f>
        <v>0</v>
      </c>
      <c r="F75" s="19" t="n">
        <f aca="false">ROUND(B75-E75,6)</f>
        <v>0</v>
      </c>
      <c r="G75" s="19" t="n">
        <f aca="false">B75*Inputs!$B$10/12</f>
        <v>0</v>
      </c>
      <c r="H75" s="19" t="n">
        <f aca="false">B75*Inputs!$B$11/12</f>
        <v>0</v>
      </c>
      <c r="I75" s="19" t="n">
        <f aca="false">B75*Inputs!$B$12/12*Inputs!$B$13</f>
        <v>0</v>
      </c>
      <c r="J75" s="19" t="n">
        <f aca="false">D75-G75-H75-I75+IF(A75=1,Inputs!$B$22,0)</f>
        <v>0</v>
      </c>
      <c r="K75" s="19" t="n">
        <f aca="false">J75*Inputs!$B$16</f>
        <v>0</v>
      </c>
      <c r="L75" s="19" t="n">
        <f aca="false">J75-K75</f>
        <v>0</v>
      </c>
      <c r="M75" s="19" t="n">
        <f aca="false">B75*Inputs!$B$14</f>
        <v>0</v>
      </c>
    </row>
    <row r="76" customFormat="false" ht="15" hidden="false" customHeight="false" outlineLevel="0" collapsed="false">
      <c r="A76" s="18" t="n">
        <v>72</v>
      </c>
      <c r="B76" s="19" t="n">
        <f aca="false">F75</f>
        <v>0</v>
      </c>
      <c r="C76" s="19" t="n">
        <f aca="false">IF(A76&lt;=Inputs!$B$19,Inputs!$B$21,0)</f>
        <v>0</v>
      </c>
      <c r="D76" s="19" t="n">
        <f aca="false">B76*Inputs!$B$20</f>
        <v>0</v>
      </c>
      <c r="E76" s="19" t="n">
        <f aca="false">C76-D76</f>
        <v>0</v>
      </c>
      <c r="F76" s="19" t="n">
        <f aca="false">ROUND(B76-E76,6)</f>
        <v>0</v>
      </c>
      <c r="G76" s="19" t="n">
        <f aca="false">B76*Inputs!$B$10/12</f>
        <v>0</v>
      </c>
      <c r="H76" s="19" t="n">
        <f aca="false">B76*Inputs!$B$11/12</f>
        <v>0</v>
      </c>
      <c r="I76" s="19" t="n">
        <f aca="false">B76*Inputs!$B$12/12*Inputs!$B$13</f>
        <v>0</v>
      </c>
      <c r="J76" s="19" t="n">
        <f aca="false">D76-G76-H76-I76+IF(A76=1,Inputs!$B$22,0)</f>
        <v>0</v>
      </c>
      <c r="K76" s="19" t="n">
        <f aca="false">J76*Inputs!$B$16</f>
        <v>0</v>
      </c>
      <c r="L76" s="19" t="n">
        <f aca="false">J76-K76</f>
        <v>0</v>
      </c>
      <c r="M76" s="19" t="n">
        <f aca="false">B76*Inputs!$B$14</f>
        <v>0</v>
      </c>
    </row>
    <row r="77" customFormat="false" ht="15" hidden="false" customHeight="false" outlineLevel="0" collapsed="false">
      <c r="A77" s="18" t="n">
        <v>73</v>
      </c>
      <c r="B77" s="19" t="n">
        <f aca="false">F76</f>
        <v>0</v>
      </c>
      <c r="C77" s="19" t="n">
        <f aca="false">IF(A77&lt;=Inputs!$B$19,Inputs!$B$21,0)</f>
        <v>0</v>
      </c>
      <c r="D77" s="19" t="n">
        <f aca="false">B77*Inputs!$B$20</f>
        <v>0</v>
      </c>
      <c r="E77" s="19" t="n">
        <f aca="false">C77-D77</f>
        <v>0</v>
      </c>
      <c r="F77" s="19" t="n">
        <f aca="false">ROUND(B77-E77,6)</f>
        <v>0</v>
      </c>
      <c r="G77" s="19" t="n">
        <f aca="false">B77*Inputs!$B$10/12</f>
        <v>0</v>
      </c>
      <c r="H77" s="19" t="n">
        <f aca="false">B77*Inputs!$B$11/12</f>
        <v>0</v>
      </c>
      <c r="I77" s="19" t="n">
        <f aca="false">B77*Inputs!$B$12/12*Inputs!$B$13</f>
        <v>0</v>
      </c>
      <c r="J77" s="19" t="n">
        <f aca="false">D77-G77-H77-I77+IF(A77=1,Inputs!$B$22,0)</f>
        <v>0</v>
      </c>
      <c r="K77" s="19" t="n">
        <f aca="false">J77*Inputs!$B$16</f>
        <v>0</v>
      </c>
      <c r="L77" s="19" t="n">
        <f aca="false">J77-K77</f>
        <v>0</v>
      </c>
      <c r="M77" s="19" t="n">
        <f aca="false">B77*Inputs!$B$14</f>
        <v>0</v>
      </c>
    </row>
    <row r="78" customFormat="false" ht="15" hidden="false" customHeight="false" outlineLevel="0" collapsed="false">
      <c r="A78" s="18" t="n">
        <v>74</v>
      </c>
      <c r="B78" s="19" t="n">
        <f aca="false">F77</f>
        <v>0</v>
      </c>
      <c r="C78" s="19" t="n">
        <f aca="false">IF(A78&lt;=Inputs!$B$19,Inputs!$B$21,0)</f>
        <v>0</v>
      </c>
      <c r="D78" s="19" t="n">
        <f aca="false">B78*Inputs!$B$20</f>
        <v>0</v>
      </c>
      <c r="E78" s="19" t="n">
        <f aca="false">C78-D78</f>
        <v>0</v>
      </c>
      <c r="F78" s="19" t="n">
        <f aca="false">ROUND(B78-E78,6)</f>
        <v>0</v>
      </c>
      <c r="G78" s="19" t="n">
        <f aca="false">B78*Inputs!$B$10/12</f>
        <v>0</v>
      </c>
      <c r="H78" s="19" t="n">
        <f aca="false">B78*Inputs!$B$11/12</f>
        <v>0</v>
      </c>
      <c r="I78" s="19" t="n">
        <f aca="false">B78*Inputs!$B$12/12*Inputs!$B$13</f>
        <v>0</v>
      </c>
      <c r="J78" s="19" t="n">
        <f aca="false">D78-G78-H78-I78+IF(A78=1,Inputs!$B$22,0)</f>
        <v>0</v>
      </c>
      <c r="K78" s="19" t="n">
        <f aca="false">J78*Inputs!$B$16</f>
        <v>0</v>
      </c>
      <c r="L78" s="19" t="n">
        <f aca="false">J78-K78</f>
        <v>0</v>
      </c>
      <c r="M78" s="19" t="n">
        <f aca="false">B78*Inputs!$B$14</f>
        <v>0</v>
      </c>
    </row>
    <row r="79" customFormat="false" ht="15" hidden="false" customHeight="false" outlineLevel="0" collapsed="false">
      <c r="A79" s="18" t="n">
        <v>75</v>
      </c>
      <c r="B79" s="19" t="n">
        <f aca="false">F78</f>
        <v>0</v>
      </c>
      <c r="C79" s="19" t="n">
        <f aca="false">IF(A79&lt;=Inputs!$B$19,Inputs!$B$21,0)</f>
        <v>0</v>
      </c>
      <c r="D79" s="19" t="n">
        <f aca="false">B79*Inputs!$B$20</f>
        <v>0</v>
      </c>
      <c r="E79" s="19" t="n">
        <f aca="false">C79-D79</f>
        <v>0</v>
      </c>
      <c r="F79" s="19" t="n">
        <f aca="false">ROUND(B79-E79,6)</f>
        <v>0</v>
      </c>
      <c r="G79" s="19" t="n">
        <f aca="false">B79*Inputs!$B$10/12</f>
        <v>0</v>
      </c>
      <c r="H79" s="19" t="n">
        <f aca="false">B79*Inputs!$B$11/12</f>
        <v>0</v>
      </c>
      <c r="I79" s="19" t="n">
        <f aca="false">B79*Inputs!$B$12/12*Inputs!$B$13</f>
        <v>0</v>
      </c>
      <c r="J79" s="19" t="n">
        <f aca="false">D79-G79-H79-I79+IF(A79=1,Inputs!$B$22,0)</f>
        <v>0</v>
      </c>
      <c r="K79" s="19" t="n">
        <f aca="false">J79*Inputs!$B$16</f>
        <v>0</v>
      </c>
      <c r="L79" s="19" t="n">
        <f aca="false">J79-K79</f>
        <v>0</v>
      </c>
      <c r="M79" s="19" t="n">
        <f aca="false">B79*Inputs!$B$14</f>
        <v>0</v>
      </c>
    </row>
    <row r="80" customFormat="false" ht="15" hidden="false" customHeight="false" outlineLevel="0" collapsed="false">
      <c r="A80" s="18" t="n">
        <v>76</v>
      </c>
      <c r="B80" s="19" t="n">
        <f aca="false">F79</f>
        <v>0</v>
      </c>
      <c r="C80" s="19" t="n">
        <f aca="false">IF(A80&lt;=Inputs!$B$19,Inputs!$B$21,0)</f>
        <v>0</v>
      </c>
      <c r="D80" s="19" t="n">
        <f aca="false">B80*Inputs!$B$20</f>
        <v>0</v>
      </c>
      <c r="E80" s="19" t="n">
        <f aca="false">C80-D80</f>
        <v>0</v>
      </c>
      <c r="F80" s="19" t="n">
        <f aca="false">ROUND(B80-E80,6)</f>
        <v>0</v>
      </c>
      <c r="G80" s="19" t="n">
        <f aca="false">B80*Inputs!$B$10/12</f>
        <v>0</v>
      </c>
      <c r="H80" s="19" t="n">
        <f aca="false">B80*Inputs!$B$11/12</f>
        <v>0</v>
      </c>
      <c r="I80" s="19" t="n">
        <f aca="false">B80*Inputs!$B$12/12*Inputs!$B$13</f>
        <v>0</v>
      </c>
      <c r="J80" s="19" t="n">
        <f aca="false">D80-G80-H80-I80+IF(A80=1,Inputs!$B$22,0)</f>
        <v>0</v>
      </c>
      <c r="K80" s="19" t="n">
        <f aca="false">J80*Inputs!$B$16</f>
        <v>0</v>
      </c>
      <c r="L80" s="19" t="n">
        <f aca="false">J80-K80</f>
        <v>0</v>
      </c>
      <c r="M80" s="19" t="n">
        <f aca="false">B80*Inputs!$B$14</f>
        <v>0</v>
      </c>
    </row>
    <row r="81" customFormat="false" ht="15" hidden="false" customHeight="false" outlineLevel="0" collapsed="false">
      <c r="A81" s="18" t="n">
        <v>77</v>
      </c>
      <c r="B81" s="19" t="n">
        <f aca="false">F80</f>
        <v>0</v>
      </c>
      <c r="C81" s="19" t="n">
        <f aca="false">IF(A81&lt;=Inputs!$B$19,Inputs!$B$21,0)</f>
        <v>0</v>
      </c>
      <c r="D81" s="19" t="n">
        <f aca="false">B81*Inputs!$B$20</f>
        <v>0</v>
      </c>
      <c r="E81" s="19" t="n">
        <f aca="false">C81-D81</f>
        <v>0</v>
      </c>
      <c r="F81" s="19" t="n">
        <f aca="false">ROUND(B81-E81,6)</f>
        <v>0</v>
      </c>
      <c r="G81" s="19" t="n">
        <f aca="false">B81*Inputs!$B$10/12</f>
        <v>0</v>
      </c>
      <c r="H81" s="19" t="n">
        <f aca="false">B81*Inputs!$B$11/12</f>
        <v>0</v>
      </c>
      <c r="I81" s="19" t="n">
        <f aca="false">B81*Inputs!$B$12/12*Inputs!$B$13</f>
        <v>0</v>
      </c>
      <c r="J81" s="19" t="n">
        <f aca="false">D81-G81-H81-I81+IF(A81=1,Inputs!$B$22,0)</f>
        <v>0</v>
      </c>
      <c r="K81" s="19" t="n">
        <f aca="false">J81*Inputs!$B$16</f>
        <v>0</v>
      </c>
      <c r="L81" s="19" t="n">
        <f aca="false">J81-K81</f>
        <v>0</v>
      </c>
      <c r="M81" s="19" t="n">
        <f aca="false">B81*Inputs!$B$14</f>
        <v>0</v>
      </c>
    </row>
    <row r="82" customFormat="false" ht="15" hidden="false" customHeight="false" outlineLevel="0" collapsed="false">
      <c r="A82" s="18" t="n">
        <v>78</v>
      </c>
      <c r="B82" s="19" t="n">
        <f aca="false">F81</f>
        <v>0</v>
      </c>
      <c r="C82" s="19" t="n">
        <f aca="false">IF(A82&lt;=Inputs!$B$19,Inputs!$B$21,0)</f>
        <v>0</v>
      </c>
      <c r="D82" s="19" t="n">
        <f aca="false">B82*Inputs!$B$20</f>
        <v>0</v>
      </c>
      <c r="E82" s="19" t="n">
        <f aca="false">C82-D82</f>
        <v>0</v>
      </c>
      <c r="F82" s="19" t="n">
        <f aca="false">ROUND(B82-E82,6)</f>
        <v>0</v>
      </c>
      <c r="G82" s="19" t="n">
        <f aca="false">B82*Inputs!$B$10/12</f>
        <v>0</v>
      </c>
      <c r="H82" s="19" t="n">
        <f aca="false">B82*Inputs!$B$11/12</f>
        <v>0</v>
      </c>
      <c r="I82" s="19" t="n">
        <f aca="false">B82*Inputs!$B$12/12*Inputs!$B$13</f>
        <v>0</v>
      </c>
      <c r="J82" s="19" t="n">
        <f aca="false">D82-G82-H82-I82+IF(A82=1,Inputs!$B$22,0)</f>
        <v>0</v>
      </c>
      <c r="K82" s="19" t="n">
        <f aca="false">J82*Inputs!$B$16</f>
        <v>0</v>
      </c>
      <c r="L82" s="19" t="n">
        <f aca="false">J82-K82</f>
        <v>0</v>
      </c>
      <c r="M82" s="19" t="n">
        <f aca="false">B82*Inputs!$B$14</f>
        <v>0</v>
      </c>
    </row>
    <row r="83" customFormat="false" ht="15" hidden="false" customHeight="false" outlineLevel="0" collapsed="false">
      <c r="A83" s="18" t="n">
        <v>79</v>
      </c>
      <c r="B83" s="19" t="n">
        <f aca="false">F82</f>
        <v>0</v>
      </c>
      <c r="C83" s="19" t="n">
        <f aca="false">IF(A83&lt;=Inputs!$B$19,Inputs!$B$21,0)</f>
        <v>0</v>
      </c>
      <c r="D83" s="19" t="n">
        <f aca="false">B83*Inputs!$B$20</f>
        <v>0</v>
      </c>
      <c r="E83" s="19" t="n">
        <f aca="false">C83-D83</f>
        <v>0</v>
      </c>
      <c r="F83" s="19" t="n">
        <f aca="false">ROUND(B83-E83,6)</f>
        <v>0</v>
      </c>
      <c r="G83" s="19" t="n">
        <f aca="false">B83*Inputs!$B$10/12</f>
        <v>0</v>
      </c>
      <c r="H83" s="19" t="n">
        <f aca="false">B83*Inputs!$B$11/12</f>
        <v>0</v>
      </c>
      <c r="I83" s="19" t="n">
        <f aca="false">B83*Inputs!$B$12/12*Inputs!$B$13</f>
        <v>0</v>
      </c>
      <c r="J83" s="19" t="n">
        <f aca="false">D83-G83-H83-I83+IF(A83=1,Inputs!$B$22,0)</f>
        <v>0</v>
      </c>
      <c r="K83" s="19" t="n">
        <f aca="false">J83*Inputs!$B$16</f>
        <v>0</v>
      </c>
      <c r="L83" s="19" t="n">
        <f aca="false">J83-K83</f>
        <v>0</v>
      </c>
      <c r="M83" s="19" t="n">
        <f aca="false">B83*Inputs!$B$14</f>
        <v>0</v>
      </c>
    </row>
    <row r="84" customFormat="false" ht="15" hidden="false" customHeight="false" outlineLevel="0" collapsed="false">
      <c r="A84" s="18" t="n">
        <v>80</v>
      </c>
      <c r="B84" s="19" t="n">
        <f aca="false">F83</f>
        <v>0</v>
      </c>
      <c r="C84" s="19" t="n">
        <f aca="false">IF(A84&lt;=Inputs!$B$19,Inputs!$B$21,0)</f>
        <v>0</v>
      </c>
      <c r="D84" s="19" t="n">
        <f aca="false">B84*Inputs!$B$20</f>
        <v>0</v>
      </c>
      <c r="E84" s="19" t="n">
        <f aca="false">C84-D84</f>
        <v>0</v>
      </c>
      <c r="F84" s="19" t="n">
        <f aca="false">ROUND(B84-E84,6)</f>
        <v>0</v>
      </c>
      <c r="G84" s="19" t="n">
        <f aca="false">B84*Inputs!$B$10/12</f>
        <v>0</v>
      </c>
      <c r="H84" s="19" t="n">
        <f aca="false">B84*Inputs!$B$11/12</f>
        <v>0</v>
      </c>
      <c r="I84" s="19" t="n">
        <f aca="false">B84*Inputs!$B$12/12*Inputs!$B$13</f>
        <v>0</v>
      </c>
      <c r="J84" s="19" t="n">
        <f aca="false">D84-G84-H84-I84+IF(A84=1,Inputs!$B$22,0)</f>
        <v>0</v>
      </c>
      <c r="K84" s="19" t="n">
        <f aca="false">J84*Inputs!$B$16</f>
        <v>0</v>
      </c>
      <c r="L84" s="19" t="n">
        <f aca="false">J84-K84</f>
        <v>0</v>
      </c>
      <c r="M84" s="19" t="n">
        <f aca="false">B84*Inputs!$B$14</f>
        <v>0</v>
      </c>
    </row>
    <row r="85" customFormat="false" ht="15" hidden="false" customHeight="false" outlineLevel="0" collapsed="false">
      <c r="A85" s="18" t="n">
        <v>81</v>
      </c>
      <c r="B85" s="19" t="n">
        <f aca="false">F84</f>
        <v>0</v>
      </c>
      <c r="C85" s="19" t="n">
        <f aca="false">IF(A85&lt;=Inputs!$B$19,Inputs!$B$21,0)</f>
        <v>0</v>
      </c>
      <c r="D85" s="19" t="n">
        <f aca="false">B85*Inputs!$B$20</f>
        <v>0</v>
      </c>
      <c r="E85" s="19" t="n">
        <f aca="false">C85-D85</f>
        <v>0</v>
      </c>
      <c r="F85" s="19" t="n">
        <f aca="false">ROUND(B85-E85,6)</f>
        <v>0</v>
      </c>
      <c r="G85" s="19" t="n">
        <f aca="false">B85*Inputs!$B$10/12</f>
        <v>0</v>
      </c>
      <c r="H85" s="19" t="n">
        <f aca="false">B85*Inputs!$B$11/12</f>
        <v>0</v>
      </c>
      <c r="I85" s="19" t="n">
        <f aca="false">B85*Inputs!$B$12/12*Inputs!$B$13</f>
        <v>0</v>
      </c>
      <c r="J85" s="19" t="n">
        <f aca="false">D85-G85-H85-I85+IF(A85=1,Inputs!$B$22,0)</f>
        <v>0</v>
      </c>
      <c r="K85" s="19" t="n">
        <f aca="false">J85*Inputs!$B$16</f>
        <v>0</v>
      </c>
      <c r="L85" s="19" t="n">
        <f aca="false">J85-K85</f>
        <v>0</v>
      </c>
      <c r="M85" s="19" t="n">
        <f aca="false">B85*Inputs!$B$14</f>
        <v>0</v>
      </c>
    </row>
    <row r="86" customFormat="false" ht="15" hidden="false" customHeight="false" outlineLevel="0" collapsed="false">
      <c r="A86" s="18" t="n">
        <v>82</v>
      </c>
      <c r="B86" s="19" t="n">
        <f aca="false">F85</f>
        <v>0</v>
      </c>
      <c r="C86" s="19" t="n">
        <f aca="false">IF(A86&lt;=Inputs!$B$19,Inputs!$B$21,0)</f>
        <v>0</v>
      </c>
      <c r="D86" s="19" t="n">
        <f aca="false">B86*Inputs!$B$20</f>
        <v>0</v>
      </c>
      <c r="E86" s="19" t="n">
        <f aca="false">C86-D86</f>
        <v>0</v>
      </c>
      <c r="F86" s="19" t="n">
        <f aca="false">ROUND(B86-E86,6)</f>
        <v>0</v>
      </c>
      <c r="G86" s="19" t="n">
        <f aca="false">B86*Inputs!$B$10/12</f>
        <v>0</v>
      </c>
      <c r="H86" s="19" t="n">
        <f aca="false">B86*Inputs!$B$11/12</f>
        <v>0</v>
      </c>
      <c r="I86" s="19" t="n">
        <f aca="false">B86*Inputs!$B$12/12*Inputs!$B$13</f>
        <v>0</v>
      </c>
      <c r="J86" s="19" t="n">
        <f aca="false">D86-G86-H86-I86+IF(A86=1,Inputs!$B$22,0)</f>
        <v>0</v>
      </c>
      <c r="K86" s="19" t="n">
        <f aca="false">J86*Inputs!$B$16</f>
        <v>0</v>
      </c>
      <c r="L86" s="19" t="n">
        <f aca="false">J86-K86</f>
        <v>0</v>
      </c>
      <c r="M86" s="19" t="n">
        <f aca="false">B86*Inputs!$B$14</f>
        <v>0</v>
      </c>
    </row>
    <row r="87" customFormat="false" ht="15" hidden="false" customHeight="false" outlineLevel="0" collapsed="false">
      <c r="A87" s="18" t="n">
        <v>83</v>
      </c>
      <c r="B87" s="19" t="n">
        <f aca="false">F86</f>
        <v>0</v>
      </c>
      <c r="C87" s="19" t="n">
        <f aca="false">IF(A87&lt;=Inputs!$B$19,Inputs!$B$21,0)</f>
        <v>0</v>
      </c>
      <c r="D87" s="19" t="n">
        <f aca="false">B87*Inputs!$B$20</f>
        <v>0</v>
      </c>
      <c r="E87" s="19" t="n">
        <f aca="false">C87-D87</f>
        <v>0</v>
      </c>
      <c r="F87" s="19" t="n">
        <f aca="false">ROUND(B87-E87,6)</f>
        <v>0</v>
      </c>
      <c r="G87" s="19" t="n">
        <f aca="false">B87*Inputs!$B$10/12</f>
        <v>0</v>
      </c>
      <c r="H87" s="19" t="n">
        <f aca="false">B87*Inputs!$B$11/12</f>
        <v>0</v>
      </c>
      <c r="I87" s="19" t="n">
        <f aca="false">B87*Inputs!$B$12/12*Inputs!$B$13</f>
        <v>0</v>
      </c>
      <c r="J87" s="19" t="n">
        <f aca="false">D87-G87-H87-I87+IF(A87=1,Inputs!$B$22,0)</f>
        <v>0</v>
      </c>
      <c r="K87" s="19" t="n">
        <f aca="false">J87*Inputs!$B$16</f>
        <v>0</v>
      </c>
      <c r="L87" s="19" t="n">
        <f aca="false">J87-K87</f>
        <v>0</v>
      </c>
      <c r="M87" s="19" t="n">
        <f aca="false">B87*Inputs!$B$14</f>
        <v>0</v>
      </c>
    </row>
    <row r="88" customFormat="false" ht="15" hidden="false" customHeight="false" outlineLevel="0" collapsed="false">
      <c r="A88" s="18" t="n">
        <v>84</v>
      </c>
      <c r="B88" s="19" t="n">
        <f aca="false">F87</f>
        <v>0</v>
      </c>
      <c r="C88" s="19" t="n">
        <f aca="false">IF(A88&lt;=Inputs!$B$19,Inputs!$B$21,0)</f>
        <v>0</v>
      </c>
      <c r="D88" s="19" t="n">
        <f aca="false">B88*Inputs!$B$20</f>
        <v>0</v>
      </c>
      <c r="E88" s="19" t="n">
        <f aca="false">C88-D88</f>
        <v>0</v>
      </c>
      <c r="F88" s="19" t="n">
        <f aca="false">ROUND(B88-E88,6)</f>
        <v>0</v>
      </c>
      <c r="G88" s="19" t="n">
        <f aca="false">B88*Inputs!$B$10/12</f>
        <v>0</v>
      </c>
      <c r="H88" s="19" t="n">
        <f aca="false">B88*Inputs!$B$11/12</f>
        <v>0</v>
      </c>
      <c r="I88" s="19" t="n">
        <f aca="false">B88*Inputs!$B$12/12*Inputs!$B$13</f>
        <v>0</v>
      </c>
      <c r="J88" s="19" t="n">
        <f aca="false">D88-G88-H88-I88+IF(A88=1,Inputs!$B$22,0)</f>
        <v>0</v>
      </c>
      <c r="K88" s="19" t="n">
        <f aca="false">J88*Inputs!$B$16</f>
        <v>0</v>
      </c>
      <c r="L88" s="19" t="n">
        <f aca="false">J88-K88</f>
        <v>0</v>
      </c>
      <c r="M88" s="19" t="n">
        <f aca="false">B88*Inputs!$B$14</f>
        <v>0</v>
      </c>
    </row>
    <row r="89" customFormat="false" ht="15" hidden="false" customHeight="false" outlineLevel="0" collapsed="false">
      <c r="A89" s="18" t="n">
        <v>85</v>
      </c>
      <c r="B89" s="19" t="n">
        <f aca="false">F88</f>
        <v>0</v>
      </c>
      <c r="C89" s="19" t="n">
        <f aca="false">IF(A89&lt;=Inputs!$B$19,Inputs!$B$21,0)</f>
        <v>0</v>
      </c>
      <c r="D89" s="19" t="n">
        <f aca="false">B89*Inputs!$B$20</f>
        <v>0</v>
      </c>
      <c r="E89" s="19" t="n">
        <f aca="false">C89-D89</f>
        <v>0</v>
      </c>
      <c r="F89" s="19" t="n">
        <f aca="false">ROUND(B89-E89,6)</f>
        <v>0</v>
      </c>
      <c r="G89" s="19" t="n">
        <f aca="false">B89*Inputs!$B$10/12</f>
        <v>0</v>
      </c>
      <c r="H89" s="19" t="n">
        <f aca="false">B89*Inputs!$B$11/12</f>
        <v>0</v>
      </c>
      <c r="I89" s="19" t="n">
        <f aca="false">B89*Inputs!$B$12/12*Inputs!$B$13</f>
        <v>0</v>
      </c>
      <c r="J89" s="19" t="n">
        <f aca="false">D89-G89-H89-I89+IF(A89=1,Inputs!$B$22,0)</f>
        <v>0</v>
      </c>
      <c r="K89" s="19" t="n">
        <f aca="false">J89*Inputs!$B$16</f>
        <v>0</v>
      </c>
      <c r="L89" s="19" t="n">
        <f aca="false">J89-K89</f>
        <v>0</v>
      </c>
      <c r="M89" s="19" t="n">
        <f aca="false">B89*Inputs!$B$14</f>
        <v>0</v>
      </c>
    </row>
    <row r="90" customFormat="false" ht="15" hidden="false" customHeight="false" outlineLevel="0" collapsed="false">
      <c r="A90" s="18" t="n">
        <v>86</v>
      </c>
      <c r="B90" s="19" t="n">
        <f aca="false">F89</f>
        <v>0</v>
      </c>
      <c r="C90" s="19" t="n">
        <f aca="false">IF(A90&lt;=Inputs!$B$19,Inputs!$B$21,0)</f>
        <v>0</v>
      </c>
      <c r="D90" s="19" t="n">
        <f aca="false">B90*Inputs!$B$20</f>
        <v>0</v>
      </c>
      <c r="E90" s="19" t="n">
        <f aca="false">C90-D90</f>
        <v>0</v>
      </c>
      <c r="F90" s="19" t="n">
        <f aca="false">ROUND(B90-E90,6)</f>
        <v>0</v>
      </c>
      <c r="G90" s="19" t="n">
        <f aca="false">B90*Inputs!$B$10/12</f>
        <v>0</v>
      </c>
      <c r="H90" s="19" t="n">
        <f aca="false">B90*Inputs!$B$11/12</f>
        <v>0</v>
      </c>
      <c r="I90" s="19" t="n">
        <f aca="false">B90*Inputs!$B$12/12*Inputs!$B$13</f>
        <v>0</v>
      </c>
      <c r="J90" s="19" t="n">
        <f aca="false">D90-G90-H90-I90+IF(A90=1,Inputs!$B$22,0)</f>
        <v>0</v>
      </c>
      <c r="K90" s="19" t="n">
        <f aca="false">J90*Inputs!$B$16</f>
        <v>0</v>
      </c>
      <c r="L90" s="19" t="n">
        <f aca="false">J90-K90</f>
        <v>0</v>
      </c>
      <c r="M90" s="19" t="n">
        <f aca="false">B90*Inputs!$B$14</f>
        <v>0</v>
      </c>
    </row>
    <row r="91" customFormat="false" ht="15" hidden="false" customHeight="false" outlineLevel="0" collapsed="false">
      <c r="A91" s="18" t="n">
        <v>87</v>
      </c>
      <c r="B91" s="19" t="n">
        <f aca="false">F90</f>
        <v>0</v>
      </c>
      <c r="C91" s="19" t="n">
        <f aca="false">IF(A91&lt;=Inputs!$B$19,Inputs!$B$21,0)</f>
        <v>0</v>
      </c>
      <c r="D91" s="19" t="n">
        <f aca="false">B91*Inputs!$B$20</f>
        <v>0</v>
      </c>
      <c r="E91" s="19" t="n">
        <f aca="false">C91-D91</f>
        <v>0</v>
      </c>
      <c r="F91" s="19" t="n">
        <f aca="false">ROUND(B91-E91,6)</f>
        <v>0</v>
      </c>
      <c r="G91" s="19" t="n">
        <f aca="false">B91*Inputs!$B$10/12</f>
        <v>0</v>
      </c>
      <c r="H91" s="19" t="n">
        <f aca="false">B91*Inputs!$B$11/12</f>
        <v>0</v>
      </c>
      <c r="I91" s="19" t="n">
        <f aca="false">B91*Inputs!$B$12/12*Inputs!$B$13</f>
        <v>0</v>
      </c>
      <c r="J91" s="19" t="n">
        <f aca="false">D91-G91-H91-I91+IF(A91=1,Inputs!$B$22,0)</f>
        <v>0</v>
      </c>
      <c r="K91" s="19" t="n">
        <f aca="false">J91*Inputs!$B$16</f>
        <v>0</v>
      </c>
      <c r="L91" s="19" t="n">
        <f aca="false">J91-K91</f>
        <v>0</v>
      </c>
      <c r="M91" s="19" t="n">
        <f aca="false">B91*Inputs!$B$14</f>
        <v>0</v>
      </c>
    </row>
    <row r="92" customFormat="false" ht="15" hidden="false" customHeight="false" outlineLevel="0" collapsed="false">
      <c r="A92" s="18" t="n">
        <v>88</v>
      </c>
      <c r="B92" s="19" t="n">
        <f aca="false">F91</f>
        <v>0</v>
      </c>
      <c r="C92" s="19" t="n">
        <f aca="false">IF(A92&lt;=Inputs!$B$19,Inputs!$B$21,0)</f>
        <v>0</v>
      </c>
      <c r="D92" s="19" t="n">
        <f aca="false">B92*Inputs!$B$20</f>
        <v>0</v>
      </c>
      <c r="E92" s="19" t="n">
        <f aca="false">C92-D92</f>
        <v>0</v>
      </c>
      <c r="F92" s="19" t="n">
        <f aca="false">ROUND(B92-E92,6)</f>
        <v>0</v>
      </c>
      <c r="G92" s="19" t="n">
        <f aca="false">B92*Inputs!$B$10/12</f>
        <v>0</v>
      </c>
      <c r="H92" s="19" t="n">
        <f aca="false">B92*Inputs!$B$11/12</f>
        <v>0</v>
      </c>
      <c r="I92" s="19" t="n">
        <f aca="false">B92*Inputs!$B$12/12*Inputs!$B$13</f>
        <v>0</v>
      </c>
      <c r="J92" s="19" t="n">
        <f aca="false">D92-G92-H92-I92+IF(A92=1,Inputs!$B$22,0)</f>
        <v>0</v>
      </c>
      <c r="K92" s="19" t="n">
        <f aca="false">J92*Inputs!$B$16</f>
        <v>0</v>
      </c>
      <c r="L92" s="19" t="n">
        <f aca="false">J92-K92</f>
        <v>0</v>
      </c>
      <c r="M92" s="19" t="n">
        <f aca="false">B92*Inputs!$B$14</f>
        <v>0</v>
      </c>
    </row>
    <row r="93" customFormat="false" ht="15" hidden="false" customHeight="false" outlineLevel="0" collapsed="false">
      <c r="A93" s="18" t="n">
        <v>89</v>
      </c>
      <c r="B93" s="19" t="n">
        <f aca="false">F92</f>
        <v>0</v>
      </c>
      <c r="C93" s="19" t="n">
        <f aca="false">IF(A93&lt;=Inputs!$B$19,Inputs!$B$21,0)</f>
        <v>0</v>
      </c>
      <c r="D93" s="19" t="n">
        <f aca="false">B93*Inputs!$B$20</f>
        <v>0</v>
      </c>
      <c r="E93" s="19" t="n">
        <f aca="false">C93-D93</f>
        <v>0</v>
      </c>
      <c r="F93" s="19" t="n">
        <f aca="false">ROUND(B93-E93,6)</f>
        <v>0</v>
      </c>
      <c r="G93" s="19" t="n">
        <f aca="false">B93*Inputs!$B$10/12</f>
        <v>0</v>
      </c>
      <c r="H93" s="19" t="n">
        <f aca="false">B93*Inputs!$B$11/12</f>
        <v>0</v>
      </c>
      <c r="I93" s="19" t="n">
        <f aca="false">B93*Inputs!$B$12/12*Inputs!$B$13</f>
        <v>0</v>
      </c>
      <c r="J93" s="19" t="n">
        <f aca="false">D93-G93-H93-I93+IF(A93=1,Inputs!$B$22,0)</f>
        <v>0</v>
      </c>
      <c r="K93" s="19" t="n">
        <f aca="false">J93*Inputs!$B$16</f>
        <v>0</v>
      </c>
      <c r="L93" s="19" t="n">
        <f aca="false">J93-K93</f>
        <v>0</v>
      </c>
      <c r="M93" s="19" t="n">
        <f aca="false">B93*Inputs!$B$14</f>
        <v>0</v>
      </c>
    </row>
    <row r="94" customFormat="false" ht="15" hidden="false" customHeight="false" outlineLevel="0" collapsed="false">
      <c r="A94" s="18" t="n">
        <v>90</v>
      </c>
      <c r="B94" s="19" t="n">
        <f aca="false">F93</f>
        <v>0</v>
      </c>
      <c r="C94" s="19" t="n">
        <f aca="false">IF(A94&lt;=Inputs!$B$19,Inputs!$B$21,0)</f>
        <v>0</v>
      </c>
      <c r="D94" s="19" t="n">
        <f aca="false">B94*Inputs!$B$20</f>
        <v>0</v>
      </c>
      <c r="E94" s="19" t="n">
        <f aca="false">C94-D94</f>
        <v>0</v>
      </c>
      <c r="F94" s="19" t="n">
        <f aca="false">ROUND(B94-E94,6)</f>
        <v>0</v>
      </c>
      <c r="G94" s="19" t="n">
        <f aca="false">B94*Inputs!$B$10/12</f>
        <v>0</v>
      </c>
      <c r="H94" s="19" t="n">
        <f aca="false">B94*Inputs!$B$11/12</f>
        <v>0</v>
      </c>
      <c r="I94" s="19" t="n">
        <f aca="false">B94*Inputs!$B$12/12*Inputs!$B$13</f>
        <v>0</v>
      </c>
      <c r="J94" s="19" t="n">
        <f aca="false">D94-G94-H94-I94+IF(A94=1,Inputs!$B$22,0)</f>
        <v>0</v>
      </c>
      <c r="K94" s="19" t="n">
        <f aca="false">J94*Inputs!$B$16</f>
        <v>0</v>
      </c>
      <c r="L94" s="19" t="n">
        <f aca="false">J94-K94</f>
        <v>0</v>
      </c>
      <c r="M94" s="19" t="n">
        <f aca="false">B94*Inputs!$B$14</f>
        <v>0</v>
      </c>
    </row>
    <row r="95" customFormat="false" ht="15" hidden="false" customHeight="false" outlineLevel="0" collapsed="false">
      <c r="A95" s="18" t="n">
        <v>91</v>
      </c>
      <c r="B95" s="19" t="n">
        <f aca="false">F94</f>
        <v>0</v>
      </c>
      <c r="C95" s="19" t="n">
        <f aca="false">IF(A95&lt;=Inputs!$B$19,Inputs!$B$21,0)</f>
        <v>0</v>
      </c>
      <c r="D95" s="19" t="n">
        <f aca="false">B95*Inputs!$B$20</f>
        <v>0</v>
      </c>
      <c r="E95" s="19" t="n">
        <f aca="false">C95-D95</f>
        <v>0</v>
      </c>
      <c r="F95" s="19" t="n">
        <f aca="false">ROUND(B95-E95,6)</f>
        <v>0</v>
      </c>
      <c r="G95" s="19" t="n">
        <f aca="false">B95*Inputs!$B$10/12</f>
        <v>0</v>
      </c>
      <c r="H95" s="19" t="n">
        <f aca="false">B95*Inputs!$B$11/12</f>
        <v>0</v>
      </c>
      <c r="I95" s="19" t="n">
        <f aca="false">B95*Inputs!$B$12/12*Inputs!$B$13</f>
        <v>0</v>
      </c>
      <c r="J95" s="19" t="n">
        <f aca="false">D95-G95-H95-I95+IF(A95=1,Inputs!$B$22,0)</f>
        <v>0</v>
      </c>
      <c r="K95" s="19" t="n">
        <f aca="false">J95*Inputs!$B$16</f>
        <v>0</v>
      </c>
      <c r="L95" s="19" t="n">
        <f aca="false">J95-K95</f>
        <v>0</v>
      </c>
      <c r="M95" s="19" t="n">
        <f aca="false">B95*Inputs!$B$14</f>
        <v>0</v>
      </c>
    </row>
    <row r="96" customFormat="false" ht="15" hidden="false" customHeight="false" outlineLevel="0" collapsed="false">
      <c r="A96" s="18" t="n">
        <v>92</v>
      </c>
      <c r="B96" s="19" t="n">
        <f aca="false">F95</f>
        <v>0</v>
      </c>
      <c r="C96" s="19" t="n">
        <f aca="false">IF(A96&lt;=Inputs!$B$19,Inputs!$B$21,0)</f>
        <v>0</v>
      </c>
      <c r="D96" s="19" t="n">
        <f aca="false">B96*Inputs!$B$20</f>
        <v>0</v>
      </c>
      <c r="E96" s="19" t="n">
        <f aca="false">C96-D96</f>
        <v>0</v>
      </c>
      <c r="F96" s="19" t="n">
        <f aca="false">ROUND(B96-E96,6)</f>
        <v>0</v>
      </c>
      <c r="G96" s="19" t="n">
        <f aca="false">B96*Inputs!$B$10/12</f>
        <v>0</v>
      </c>
      <c r="H96" s="19" t="n">
        <f aca="false">B96*Inputs!$B$11/12</f>
        <v>0</v>
      </c>
      <c r="I96" s="19" t="n">
        <f aca="false">B96*Inputs!$B$12/12*Inputs!$B$13</f>
        <v>0</v>
      </c>
      <c r="J96" s="19" t="n">
        <f aca="false">D96-G96-H96-I96+IF(A96=1,Inputs!$B$22,0)</f>
        <v>0</v>
      </c>
      <c r="K96" s="19" t="n">
        <f aca="false">J96*Inputs!$B$16</f>
        <v>0</v>
      </c>
      <c r="L96" s="19" t="n">
        <f aca="false">J96-K96</f>
        <v>0</v>
      </c>
      <c r="M96" s="19" t="n">
        <f aca="false">B96*Inputs!$B$14</f>
        <v>0</v>
      </c>
    </row>
    <row r="97" customFormat="false" ht="15" hidden="false" customHeight="false" outlineLevel="0" collapsed="false">
      <c r="A97" s="18" t="n">
        <v>93</v>
      </c>
      <c r="B97" s="19" t="n">
        <f aca="false">F96</f>
        <v>0</v>
      </c>
      <c r="C97" s="19" t="n">
        <f aca="false">IF(A97&lt;=Inputs!$B$19,Inputs!$B$21,0)</f>
        <v>0</v>
      </c>
      <c r="D97" s="19" t="n">
        <f aca="false">B97*Inputs!$B$20</f>
        <v>0</v>
      </c>
      <c r="E97" s="19" t="n">
        <f aca="false">C97-D97</f>
        <v>0</v>
      </c>
      <c r="F97" s="19" t="n">
        <f aca="false">ROUND(B97-E97,6)</f>
        <v>0</v>
      </c>
      <c r="G97" s="19" t="n">
        <f aca="false">B97*Inputs!$B$10/12</f>
        <v>0</v>
      </c>
      <c r="H97" s="19" t="n">
        <f aca="false">B97*Inputs!$B$11/12</f>
        <v>0</v>
      </c>
      <c r="I97" s="19" t="n">
        <f aca="false">B97*Inputs!$B$12/12*Inputs!$B$13</f>
        <v>0</v>
      </c>
      <c r="J97" s="19" t="n">
        <f aca="false">D97-G97-H97-I97+IF(A97=1,Inputs!$B$22,0)</f>
        <v>0</v>
      </c>
      <c r="K97" s="19" t="n">
        <f aca="false">J97*Inputs!$B$16</f>
        <v>0</v>
      </c>
      <c r="L97" s="19" t="n">
        <f aca="false">J97-K97</f>
        <v>0</v>
      </c>
      <c r="M97" s="19" t="n">
        <f aca="false">B97*Inputs!$B$14</f>
        <v>0</v>
      </c>
    </row>
    <row r="98" customFormat="false" ht="15" hidden="false" customHeight="false" outlineLevel="0" collapsed="false">
      <c r="A98" s="18" t="n">
        <v>94</v>
      </c>
      <c r="B98" s="19" t="n">
        <f aca="false">F97</f>
        <v>0</v>
      </c>
      <c r="C98" s="19" t="n">
        <f aca="false">IF(A98&lt;=Inputs!$B$19,Inputs!$B$21,0)</f>
        <v>0</v>
      </c>
      <c r="D98" s="19" t="n">
        <f aca="false">B98*Inputs!$B$20</f>
        <v>0</v>
      </c>
      <c r="E98" s="19" t="n">
        <f aca="false">C98-D98</f>
        <v>0</v>
      </c>
      <c r="F98" s="19" t="n">
        <f aca="false">ROUND(B98-E98,6)</f>
        <v>0</v>
      </c>
      <c r="G98" s="19" t="n">
        <f aca="false">B98*Inputs!$B$10/12</f>
        <v>0</v>
      </c>
      <c r="H98" s="19" t="n">
        <f aca="false">B98*Inputs!$B$11/12</f>
        <v>0</v>
      </c>
      <c r="I98" s="19" t="n">
        <f aca="false">B98*Inputs!$B$12/12*Inputs!$B$13</f>
        <v>0</v>
      </c>
      <c r="J98" s="19" t="n">
        <f aca="false">D98-G98-H98-I98+IF(A98=1,Inputs!$B$22,0)</f>
        <v>0</v>
      </c>
      <c r="K98" s="19" t="n">
        <f aca="false">J98*Inputs!$B$16</f>
        <v>0</v>
      </c>
      <c r="L98" s="19" t="n">
        <f aca="false">J98-K98</f>
        <v>0</v>
      </c>
      <c r="M98" s="19" t="n">
        <f aca="false">B98*Inputs!$B$14</f>
        <v>0</v>
      </c>
    </row>
    <row r="99" customFormat="false" ht="15" hidden="false" customHeight="false" outlineLevel="0" collapsed="false">
      <c r="A99" s="18" t="n">
        <v>95</v>
      </c>
      <c r="B99" s="19" t="n">
        <f aca="false">F98</f>
        <v>0</v>
      </c>
      <c r="C99" s="19" t="n">
        <f aca="false">IF(A99&lt;=Inputs!$B$19,Inputs!$B$21,0)</f>
        <v>0</v>
      </c>
      <c r="D99" s="19" t="n">
        <f aca="false">B99*Inputs!$B$20</f>
        <v>0</v>
      </c>
      <c r="E99" s="19" t="n">
        <f aca="false">C99-D99</f>
        <v>0</v>
      </c>
      <c r="F99" s="19" t="n">
        <f aca="false">ROUND(B99-E99,6)</f>
        <v>0</v>
      </c>
      <c r="G99" s="19" t="n">
        <f aca="false">B99*Inputs!$B$10/12</f>
        <v>0</v>
      </c>
      <c r="H99" s="19" t="n">
        <f aca="false">B99*Inputs!$B$11/12</f>
        <v>0</v>
      </c>
      <c r="I99" s="19" t="n">
        <f aca="false">B99*Inputs!$B$12/12*Inputs!$B$13</f>
        <v>0</v>
      </c>
      <c r="J99" s="19" t="n">
        <f aca="false">D99-G99-H99-I99+IF(A99=1,Inputs!$B$22,0)</f>
        <v>0</v>
      </c>
      <c r="K99" s="19" t="n">
        <f aca="false">J99*Inputs!$B$16</f>
        <v>0</v>
      </c>
      <c r="L99" s="19" t="n">
        <f aca="false">J99-K99</f>
        <v>0</v>
      </c>
      <c r="M99" s="19" t="n">
        <f aca="false">B99*Inputs!$B$14</f>
        <v>0</v>
      </c>
    </row>
    <row r="100" customFormat="false" ht="15" hidden="false" customHeight="false" outlineLevel="0" collapsed="false">
      <c r="A100" s="18" t="n">
        <v>96</v>
      </c>
      <c r="B100" s="19" t="n">
        <f aca="false">F99</f>
        <v>0</v>
      </c>
      <c r="C100" s="19" t="n">
        <f aca="false">IF(A100&lt;=Inputs!$B$19,Inputs!$B$21,0)</f>
        <v>0</v>
      </c>
      <c r="D100" s="19" t="n">
        <f aca="false">B100*Inputs!$B$20</f>
        <v>0</v>
      </c>
      <c r="E100" s="19" t="n">
        <f aca="false">C100-D100</f>
        <v>0</v>
      </c>
      <c r="F100" s="19" t="n">
        <f aca="false">ROUND(B100-E100,6)</f>
        <v>0</v>
      </c>
      <c r="G100" s="19" t="n">
        <f aca="false">B100*Inputs!$B$10/12</f>
        <v>0</v>
      </c>
      <c r="H100" s="19" t="n">
        <f aca="false">B100*Inputs!$B$11/12</f>
        <v>0</v>
      </c>
      <c r="I100" s="19" t="n">
        <f aca="false">B100*Inputs!$B$12/12*Inputs!$B$13</f>
        <v>0</v>
      </c>
      <c r="J100" s="19" t="n">
        <f aca="false">D100-G100-H100-I100+IF(A100=1,Inputs!$B$22,0)</f>
        <v>0</v>
      </c>
      <c r="K100" s="19" t="n">
        <f aca="false">J100*Inputs!$B$16</f>
        <v>0</v>
      </c>
      <c r="L100" s="19" t="n">
        <f aca="false">J100-K100</f>
        <v>0</v>
      </c>
      <c r="M100" s="19" t="n">
        <f aca="false">B100*Inputs!$B$14</f>
        <v>0</v>
      </c>
    </row>
    <row r="101" customFormat="false" ht="15" hidden="false" customHeight="false" outlineLevel="0" collapsed="false">
      <c r="A101" s="18" t="n">
        <v>97</v>
      </c>
      <c r="B101" s="19" t="n">
        <f aca="false">F100</f>
        <v>0</v>
      </c>
      <c r="C101" s="19" t="n">
        <f aca="false">IF(A101&lt;=Inputs!$B$19,Inputs!$B$21,0)</f>
        <v>0</v>
      </c>
      <c r="D101" s="19" t="n">
        <f aca="false">B101*Inputs!$B$20</f>
        <v>0</v>
      </c>
      <c r="E101" s="19" t="n">
        <f aca="false">C101-D101</f>
        <v>0</v>
      </c>
      <c r="F101" s="19" t="n">
        <f aca="false">ROUND(B101-E101,6)</f>
        <v>0</v>
      </c>
      <c r="G101" s="19" t="n">
        <f aca="false">B101*Inputs!$B$10/12</f>
        <v>0</v>
      </c>
      <c r="H101" s="19" t="n">
        <f aca="false">B101*Inputs!$B$11/12</f>
        <v>0</v>
      </c>
      <c r="I101" s="19" t="n">
        <f aca="false">B101*Inputs!$B$12/12*Inputs!$B$13</f>
        <v>0</v>
      </c>
      <c r="J101" s="19" t="n">
        <f aca="false">D101-G101-H101-I101+IF(A101=1,Inputs!$B$22,0)</f>
        <v>0</v>
      </c>
      <c r="K101" s="19" t="n">
        <f aca="false">J101*Inputs!$B$16</f>
        <v>0</v>
      </c>
      <c r="L101" s="19" t="n">
        <f aca="false">J101-K101</f>
        <v>0</v>
      </c>
      <c r="M101" s="19" t="n">
        <f aca="false">B101*Inputs!$B$14</f>
        <v>0</v>
      </c>
    </row>
    <row r="102" customFormat="false" ht="15" hidden="false" customHeight="false" outlineLevel="0" collapsed="false">
      <c r="A102" s="18" t="n">
        <v>98</v>
      </c>
      <c r="B102" s="19" t="n">
        <f aca="false">F101</f>
        <v>0</v>
      </c>
      <c r="C102" s="19" t="n">
        <f aca="false">IF(A102&lt;=Inputs!$B$19,Inputs!$B$21,0)</f>
        <v>0</v>
      </c>
      <c r="D102" s="19" t="n">
        <f aca="false">B102*Inputs!$B$20</f>
        <v>0</v>
      </c>
      <c r="E102" s="19" t="n">
        <f aca="false">C102-D102</f>
        <v>0</v>
      </c>
      <c r="F102" s="19" t="n">
        <f aca="false">ROUND(B102-E102,6)</f>
        <v>0</v>
      </c>
      <c r="G102" s="19" t="n">
        <f aca="false">B102*Inputs!$B$10/12</f>
        <v>0</v>
      </c>
      <c r="H102" s="19" t="n">
        <f aca="false">B102*Inputs!$B$11/12</f>
        <v>0</v>
      </c>
      <c r="I102" s="19" t="n">
        <f aca="false">B102*Inputs!$B$12/12*Inputs!$B$13</f>
        <v>0</v>
      </c>
      <c r="J102" s="19" t="n">
        <f aca="false">D102-G102-H102-I102+IF(A102=1,Inputs!$B$22,0)</f>
        <v>0</v>
      </c>
      <c r="K102" s="19" t="n">
        <f aca="false">J102*Inputs!$B$16</f>
        <v>0</v>
      </c>
      <c r="L102" s="19" t="n">
        <f aca="false">J102-K102</f>
        <v>0</v>
      </c>
      <c r="M102" s="19" t="n">
        <f aca="false">B102*Inputs!$B$14</f>
        <v>0</v>
      </c>
    </row>
    <row r="103" customFormat="false" ht="15" hidden="false" customHeight="false" outlineLevel="0" collapsed="false">
      <c r="A103" s="18" t="n">
        <v>99</v>
      </c>
      <c r="B103" s="19" t="n">
        <f aca="false">F102</f>
        <v>0</v>
      </c>
      <c r="C103" s="19" t="n">
        <f aca="false">IF(A103&lt;=Inputs!$B$19,Inputs!$B$21,0)</f>
        <v>0</v>
      </c>
      <c r="D103" s="19" t="n">
        <f aca="false">B103*Inputs!$B$20</f>
        <v>0</v>
      </c>
      <c r="E103" s="19" t="n">
        <f aca="false">C103-D103</f>
        <v>0</v>
      </c>
      <c r="F103" s="19" t="n">
        <f aca="false">ROUND(B103-E103,6)</f>
        <v>0</v>
      </c>
      <c r="G103" s="19" t="n">
        <f aca="false">B103*Inputs!$B$10/12</f>
        <v>0</v>
      </c>
      <c r="H103" s="19" t="n">
        <f aca="false">B103*Inputs!$B$11/12</f>
        <v>0</v>
      </c>
      <c r="I103" s="19" t="n">
        <f aca="false">B103*Inputs!$B$12/12*Inputs!$B$13</f>
        <v>0</v>
      </c>
      <c r="J103" s="19" t="n">
        <f aca="false">D103-G103-H103-I103+IF(A103=1,Inputs!$B$22,0)</f>
        <v>0</v>
      </c>
      <c r="K103" s="19" t="n">
        <f aca="false">J103*Inputs!$B$16</f>
        <v>0</v>
      </c>
      <c r="L103" s="19" t="n">
        <f aca="false">J103-K103</f>
        <v>0</v>
      </c>
      <c r="M103" s="19" t="n">
        <f aca="false">B103*Inputs!$B$14</f>
        <v>0</v>
      </c>
    </row>
    <row r="104" customFormat="false" ht="15" hidden="false" customHeight="false" outlineLevel="0" collapsed="false">
      <c r="A104" s="18" t="n">
        <v>100</v>
      </c>
      <c r="B104" s="19" t="n">
        <f aca="false">F103</f>
        <v>0</v>
      </c>
      <c r="C104" s="19" t="n">
        <f aca="false">IF(A104&lt;=Inputs!$B$19,Inputs!$B$21,0)</f>
        <v>0</v>
      </c>
      <c r="D104" s="19" t="n">
        <f aca="false">B104*Inputs!$B$20</f>
        <v>0</v>
      </c>
      <c r="E104" s="19" t="n">
        <f aca="false">C104-D104</f>
        <v>0</v>
      </c>
      <c r="F104" s="19" t="n">
        <f aca="false">ROUND(B104-E104,6)</f>
        <v>0</v>
      </c>
      <c r="G104" s="19" t="n">
        <f aca="false">B104*Inputs!$B$10/12</f>
        <v>0</v>
      </c>
      <c r="H104" s="19" t="n">
        <f aca="false">B104*Inputs!$B$11/12</f>
        <v>0</v>
      </c>
      <c r="I104" s="19" t="n">
        <f aca="false">B104*Inputs!$B$12/12*Inputs!$B$13</f>
        <v>0</v>
      </c>
      <c r="J104" s="19" t="n">
        <f aca="false">D104-G104-H104-I104+IF(A104=1,Inputs!$B$22,0)</f>
        <v>0</v>
      </c>
      <c r="K104" s="19" t="n">
        <f aca="false">J104*Inputs!$B$16</f>
        <v>0</v>
      </c>
      <c r="L104" s="19" t="n">
        <f aca="false">J104-K104</f>
        <v>0</v>
      </c>
      <c r="M104" s="19" t="n">
        <f aca="false">B104*Inputs!$B$14</f>
        <v>0</v>
      </c>
    </row>
    <row r="105" customFormat="false" ht="15" hidden="false" customHeight="false" outlineLevel="0" collapsed="false">
      <c r="A105" s="18" t="n">
        <v>101</v>
      </c>
      <c r="B105" s="19" t="n">
        <f aca="false">F104</f>
        <v>0</v>
      </c>
      <c r="C105" s="19" t="n">
        <f aca="false">IF(A105&lt;=Inputs!$B$19,Inputs!$B$21,0)</f>
        <v>0</v>
      </c>
      <c r="D105" s="19" t="n">
        <f aca="false">B105*Inputs!$B$20</f>
        <v>0</v>
      </c>
      <c r="E105" s="19" t="n">
        <f aca="false">C105-D105</f>
        <v>0</v>
      </c>
      <c r="F105" s="19" t="n">
        <f aca="false">ROUND(B105-E105,6)</f>
        <v>0</v>
      </c>
      <c r="G105" s="19" t="n">
        <f aca="false">B105*Inputs!$B$10/12</f>
        <v>0</v>
      </c>
      <c r="H105" s="19" t="n">
        <f aca="false">B105*Inputs!$B$11/12</f>
        <v>0</v>
      </c>
      <c r="I105" s="19" t="n">
        <f aca="false">B105*Inputs!$B$12/12*Inputs!$B$13</f>
        <v>0</v>
      </c>
      <c r="J105" s="19" t="n">
        <f aca="false">D105-G105-H105-I105+IF(A105=1,Inputs!$B$22,0)</f>
        <v>0</v>
      </c>
      <c r="K105" s="19" t="n">
        <f aca="false">J105*Inputs!$B$16</f>
        <v>0</v>
      </c>
      <c r="L105" s="19" t="n">
        <f aca="false">J105-K105</f>
        <v>0</v>
      </c>
      <c r="M105" s="19" t="n">
        <f aca="false">B105*Inputs!$B$14</f>
        <v>0</v>
      </c>
    </row>
    <row r="106" customFormat="false" ht="15" hidden="false" customHeight="false" outlineLevel="0" collapsed="false">
      <c r="A106" s="18" t="n">
        <v>102</v>
      </c>
      <c r="B106" s="19" t="n">
        <f aca="false">F105</f>
        <v>0</v>
      </c>
      <c r="C106" s="19" t="n">
        <f aca="false">IF(A106&lt;=Inputs!$B$19,Inputs!$B$21,0)</f>
        <v>0</v>
      </c>
      <c r="D106" s="19" t="n">
        <f aca="false">B106*Inputs!$B$20</f>
        <v>0</v>
      </c>
      <c r="E106" s="19" t="n">
        <f aca="false">C106-D106</f>
        <v>0</v>
      </c>
      <c r="F106" s="19" t="n">
        <f aca="false">ROUND(B106-E106,6)</f>
        <v>0</v>
      </c>
      <c r="G106" s="19" t="n">
        <f aca="false">B106*Inputs!$B$10/12</f>
        <v>0</v>
      </c>
      <c r="H106" s="19" t="n">
        <f aca="false">B106*Inputs!$B$11/12</f>
        <v>0</v>
      </c>
      <c r="I106" s="19" t="n">
        <f aca="false">B106*Inputs!$B$12/12*Inputs!$B$13</f>
        <v>0</v>
      </c>
      <c r="J106" s="19" t="n">
        <f aca="false">D106-G106-H106-I106+IF(A106=1,Inputs!$B$22,0)</f>
        <v>0</v>
      </c>
      <c r="K106" s="19" t="n">
        <f aca="false">J106*Inputs!$B$16</f>
        <v>0</v>
      </c>
      <c r="L106" s="19" t="n">
        <f aca="false">J106-K106</f>
        <v>0</v>
      </c>
      <c r="M106" s="19" t="n">
        <f aca="false">B106*Inputs!$B$14</f>
        <v>0</v>
      </c>
    </row>
    <row r="107" customFormat="false" ht="15" hidden="false" customHeight="false" outlineLevel="0" collapsed="false">
      <c r="A107" s="18" t="n">
        <v>103</v>
      </c>
      <c r="B107" s="19" t="n">
        <f aca="false">F106</f>
        <v>0</v>
      </c>
      <c r="C107" s="19" t="n">
        <f aca="false">IF(A107&lt;=Inputs!$B$19,Inputs!$B$21,0)</f>
        <v>0</v>
      </c>
      <c r="D107" s="19" t="n">
        <f aca="false">B107*Inputs!$B$20</f>
        <v>0</v>
      </c>
      <c r="E107" s="19" t="n">
        <f aca="false">C107-D107</f>
        <v>0</v>
      </c>
      <c r="F107" s="19" t="n">
        <f aca="false">ROUND(B107-E107,6)</f>
        <v>0</v>
      </c>
      <c r="G107" s="19" t="n">
        <f aca="false">B107*Inputs!$B$10/12</f>
        <v>0</v>
      </c>
      <c r="H107" s="19" t="n">
        <f aca="false">B107*Inputs!$B$11/12</f>
        <v>0</v>
      </c>
      <c r="I107" s="19" t="n">
        <f aca="false">B107*Inputs!$B$12/12*Inputs!$B$13</f>
        <v>0</v>
      </c>
      <c r="J107" s="19" t="n">
        <f aca="false">D107-G107-H107-I107+IF(A107=1,Inputs!$B$22,0)</f>
        <v>0</v>
      </c>
      <c r="K107" s="19" t="n">
        <f aca="false">J107*Inputs!$B$16</f>
        <v>0</v>
      </c>
      <c r="L107" s="19" t="n">
        <f aca="false">J107-K107</f>
        <v>0</v>
      </c>
      <c r="M107" s="19" t="n">
        <f aca="false">B107*Inputs!$B$14</f>
        <v>0</v>
      </c>
    </row>
    <row r="108" customFormat="false" ht="15" hidden="false" customHeight="false" outlineLevel="0" collapsed="false">
      <c r="A108" s="18" t="n">
        <v>104</v>
      </c>
      <c r="B108" s="19" t="n">
        <f aca="false">F107</f>
        <v>0</v>
      </c>
      <c r="C108" s="19" t="n">
        <f aca="false">IF(A108&lt;=Inputs!$B$19,Inputs!$B$21,0)</f>
        <v>0</v>
      </c>
      <c r="D108" s="19" t="n">
        <f aca="false">B108*Inputs!$B$20</f>
        <v>0</v>
      </c>
      <c r="E108" s="19" t="n">
        <f aca="false">C108-D108</f>
        <v>0</v>
      </c>
      <c r="F108" s="19" t="n">
        <f aca="false">ROUND(B108-E108,6)</f>
        <v>0</v>
      </c>
      <c r="G108" s="19" t="n">
        <f aca="false">B108*Inputs!$B$10/12</f>
        <v>0</v>
      </c>
      <c r="H108" s="19" t="n">
        <f aca="false">B108*Inputs!$B$11/12</f>
        <v>0</v>
      </c>
      <c r="I108" s="19" t="n">
        <f aca="false">B108*Inputs!$B$12/12*Inputs!$B$13</f>
        <v>0</v>
      </c>
      <c r="J108" s="19" t="n">
        <f aca="false">D108-G108-H108-I108+IF(A108=1,Inputs!$B$22,0)</f>
        <v>0</v>
      </c>
      <c r="K108" s="19" t="n">
        <f aca="false">J108*Inputs!$B$16</f>
        <v>0</v>
      </c>
      <c r="L108" s="19" t="n">
        <f aca="false">J108-K108</f>
        <v>0</v>
      </c>
      <c r="M108" s="19" t="n">
        <f aca="false">B108*Inputs!$B$14</f>
        <v>0</v>
      </c>
    </row>
    <row r="109" customFormat="false" ht="15" hidden="false" customHeight="false" outlineLevel="0" collapsed="false">
      <c r="A109" s="18" t="n">
        <v>105</v>
      </c>
      <c r="B109" s="19" t="n">
        <f aca="false">F108</f>
        <v>0</v>
      </c>
      <c r="C109" s="19" t="n">
        <f aca="false">IF(A109&lt;=Inputs!$B$19,Inputs!$B$21,0)</f>
        <v>0</v>
      </c>
      <c r="D109" s="19" t="n">
        <f aca="false">B109*Inputs!$B$20</f>
        <v>0</v>
      </c>
      <c r="E109" s="19" t="n">
        <f aca="false">C109-D109</f>
        <v>0</v>
      </c>
      <c r="F109" s="19" t="n">
        <f aca="false">ROUND(B109-E109,6)</f>
        <v>0</v>
      </c>
      <c r="G109" s="19" t="n">
        <f aca="false">B109*Inputs!$B$10/12</f>
        <v>0</v>
      </c>
      <c r="H109" s="19" t="n">
        <f aca="false">B109*Inputs!$B$11/12</f>
        <v>0</v>
      </c>
      <c r="I109" s="19" t="n">
        <f aca="false">B109*Inputs!$B$12/12*Inputs!$B$13</f>
        <v>0</v>
      </c>
      <c r="J109" s="19" t="n">
        <f aca="false">D109-G109-H109-I109+IF(A109=1,Inputs!$B$22,0)</f>
        <v>0</v>
      </c>
      <c r="K109" s="19" t="n">
        <f aca="false">J109*Inputs!$B$16</f>
        <v>0</v>
      </c>
      <c r="L109" s="19" t="n">
        <f aca="false">J109-K109</f>
        <v>0</v>
      </c>
      <c r="M109" s="19" t="n">
        <f aca="false">B109*Inputs!$B$14</f>
        <v>0</v>
      </c>
    </row>
    <row r="110" customFormat="false" ht="15" hidden="false" customHeight="false" outlineLevel="0" collapsed="false">
      <c r="A110" s="18" t="n">
        <v>106</v>
      </c>
      <c r="B110" s="19" t="n">
        <f aca="false">F109</f>
        <v>0</v>
      </c>
      <c r="C110" s="19" t="n">
        <f aca="false">IF(A110&lt;=Inputs!$B$19,Inputs!$B$21,0)</f>
        <v>0</v>
      </c>
      <c r="D110" s="19" t="n">
        <f aca="false">B110*Inputs!$B$20</f>
        <v>0</v>
      </c>
      <c r="E110" s="19" t="n">
        <f aca="false">C110-D110</f>
        <v>0</v>
      </c>
      <c r="F110" s="19" t="n">
        <f aca="false">ROUND(B110-E110,6)</f>
        <v>0</v>
      </c>
      <c r="G110" s="19" t="n">
        <f aca="false">B110*Inputs!$B$10/12</f>
        <v>0</v>
      </c>
      <c r="H110" s="19" t="n">
        <f aca="false">B110*Inputs!$B$11/12</f>
        <v>0</v>
      </c>
      <c r="I110" s="19" t="n">
        <f aca="false">B110*Inputs!$B$12/12*Inputs!$B$13</f>
        <v>0</v>
      </c>
      <c r="J110" s="19" t="n">
        <f aca="false">D110-G110-H110-I110+IF(A110=1,Inputs!$B$22,0)</f>
        <v>0</v>
      </c>
      <c r="K110" s="19" t="n">
        <f aca="false">J110*Inputs!$B$16</f>
        <v>0</v>
      </c>
      <c r="L110" s="19" t="n">
        <f aca="false">J110-K110</f>
        <v>0</v>
      </c>
      <c r="M110" s="19" t="n">
        <f aca="false">B110*Inputs!$B$14</f>
        <v>0</v>
      </c>
    </row>
    <row r="111" customFormat="false" ht="15" hidden="false" customHeight="false" outlineLevel="0" collapsed="false">
      <c r="A111" s="18" t="n">
        <v>107</v>
      </c>
      <c r="B111" s="19" t="n">
        <f aca="false">F110</f>
        <v>0</v>
      </c>
      <c r="C111" s="19" t="n">
        <f aca="false">IF(A111&lt;=Inputs!$B$19,Inputs!$B$21,0)</f>
        <v>0</v>
      </c>
      <c r="D111" s="19" t="n">
        <f aca="false">B111*Inputs!$B$20</f>
        <v>0</v>
      </c>
      <c r="E111" s="19" t="n">
        <f aca="false">C111-D111</f>
        <v>0</v>
      </c>
      <c r="F111" s="19" t="n">
        <f aca="false">ROUND(B111-E111,6)</f>
        <v>0</v>
      </c>
      <c r="G111" s="19" t="n">
        <f aca="false">B111*Inputs!$B$10/12</f>
        <v>0</v>
      </c>
      <c r="H111" s="19" t="n">
        <f aca="false">B111*Inputs!$B$11/12</f>
        <v>0</v>
      </c>
      <c r="I111" s="19" t="n">
        <f aca="false">B111*Inputs!$B$12/12*Inputs!$B$13</f>
        <v>0</v>
      </c>
      <c r="J111" s="19" t="n">
        <f aca="false">D111-G111-H111-I111+IF(A111=1,Inputs!$B$22,0)</f>
        <v>0</v>
      </c>
      <c r="K111" s="19" t="n">
        <f aca="false">J111*Inputs!$B$16</f>
        <v>0</v>
      </c>
      <c r="L111" s="19" t="n">
        <f aca="false">J111-K111</f>
        <v>0</v>
      </c>
      <c r="M111" s="19" t="n">
        <f aca="false">B111*Inputs!$B$14</f>
        <v>0</v>
      </c>
    </row>
    <row r="112" customFormat="false" ht="15" hidden="false" customHeight="false" outlineLevel="0" collapsed="false">
      <c r="A112" s="18" t="n">
        <v>108</v>
      </c>
      <c r="B112" s="19" t="n">
        <f aca="false">F111</f>
        <v>0</v>
      </c>
      <c r="C112" s="19" t="n">
        <f aca="false">IF(A112&lt;=Inputs!$B$19,Inputs!$B$21,0)</f>
        <v>0</v>
      </c>
      <c r="D112" s="19" t="n">
        <f aca="false">B112*Inputs!$B$20</f>
        <v>0</v>
      </c>
      <c r="E112" s="19" t="n">
        <f aca="false">C112-D112</f>
        <v>0</v>
      </c>
      <c r="F112" s="19" t="n">
        <f aca="false">ROUND(B112-E112,6)</f>
        <v>0</v>
      </c>
      <c r="G112" s="19" t="n">
        <f aca="false">B112*Inputs!$B$10/12</f>
        <v>0</v>
      </c>
      <c r="H112" s="19" t="n">
        <f aca="false">B112*Inputs!$B$11/12</f>
        <v>0</v>
      </c>
      <c r="I112" s="19" t="n">
        <f aca="false">B112*Inputs!$B$12/12*Inputs!$B$13</f>
        <v>0</v>
      </c>
      <c r="J112" s="19" t="n">
        <f aca="false">D112-G112-H112-I112+IF(A112=1,Inputs!$B$22,0)</f>
        <v>0</v>
      </c>
      <c r="K112" s="19" t="n">
        <f aca="false">J112*Inputs!$B$16</f>
        <v>0</v>
      </c>
      <c r="L112" s="19" t="n">
        <f aca="false">J112-K112</f>
        <v>0</v>
      </c>
      <c r="M112" s="19" t="n">
        <f aca="false">B112*Inputs!$B$14</f>
        <v>0</v>
      </c>
    </row>
    <row r="113" customFormat="false" ht="15" hidden="false" customHeight="false" outlineLevel="0" collapsed="false">
      <c r="A113" s="18" t="n">
        <v>109</v>
      </c>
      <c r="B113" s="19" t="n">
        <f aca="false">F112</f>
        <v>0</v>
      </c>
      <c r="C113" s="19" t="n">
        <f aca="false">IF(A113&lt;=Inputs!$B$19,Inputs!$B$21,0)</f>
        <v>0</v>
      </c>
      <c r="D113" s="19" t="n">
        <f aca="false">B113*Inputs!$B$20</f>
        <v>0</v>
      </c>
      <c r="E113" s="19" t="n">
        <f aca="false">C113-D113</f>
        <v>0</v>
      </c>
      <c r="F113" s="19" t="n">
        <f aca="false">ROUND(B113-E113,6)</f>
        <v>0</v>
      </c>
      <c r="G113" s="19" t="n">
        <f aca="false">B113*Inputs!$B$10/12</f>
        <v>0</v>
      </c>
      <c r="H113" s="19" t="n">
        <f aca="false">B113*Inputs!$B$11/12</f>
        <v>0</v>
      </c>
      <c r="I113" s="19" t="n">
        <f aca="false">B113*Inputs!$B$12/12*Inputs!$B$13</f>
        <v>0</v>
      </c>
      <c r="J113" s="19" t="n">
        <f aca="false">D113-G113-H113-I113+IF(A113=1,Inputs!$B$22,0)</f>
        <v>0</v>
      </c>
      <c r="K113" s="19" t="n">
        <f aca="false">J113*Inputs!$B$16</f>
        <v>0</v>
      </c>
      <c r="L113" s="19" t="n">
        <f aca="false">J113-K113</f>
        <v>0</v>
      </c>
      <c r="M113" s="19" t="n">
        <f aca="false">B113*Inputs!$B$14</f>
        <v>0</v>
      </c>
    </row>
    <row r="114" customFormat="false" ht="15" hidden="false" customHeight="false" outlineLevel="0" collapsed="false">
      <c r="A114" s="18" t="n">
        <v>110</v>
      </c>
      <c r="B114" s="19" t="n">
        <f aca="false">F113</f>
        <v>0</v>
      </c>
      <c r="C114" s="19" t="n">
        <f aca="false">IF(A114&lt;=Inputs!$B$19,Inputs!$B$21,0)</f>
        <v>0</v>
      </c>
      <c r="D114" s="19" t="n">
        <f aca="false">B114*Inputs!$B$20</f>
        <v>0</v>
      </c>
      <c r="E114" s="19" t="n">
        <f aca="false">C114-D114</f>
        <v>0</v>
      </c>
      <c r="F114" s="19" t="n">
        <f aca="false">ROUND(B114-E114,6)</f>
        <v>0</v>
      </c>
      <c r="G114" s="19" t="n">
        <f aca="false">B114*Inputs!$B$10/12</f>
        <v>0</v>
      </c>
      <c r="H114" s="19" t="n">
        <f aca="false">B114*Inputs!$B$11/12</f>
        <v>0</v>
      </c>
      <c r="I114" s="19" t="n">
        <f aca="false">B114*Inputs!$B$12/12*Inputs!$B$13</f>
        <v>0</v>
      </c>
      <c r="J114" s="19" t="n">
        <f aca="false">D114-G114-H114-I114+IF(A114=1,Inputs!$B$22,0)</f>
        <v>0</v>
      </c>
      <c r="K114" s="19" t="n">
        <f aca="false">J114*Inputs!$B$16</f>
        <v>0</v>
      </c>
      <c r="L114" s="19" t="n">
        <f aca="false">J114-K114</f>
        <v>0</v>
      </c>
      <c r="M114" s="19" t="n">
        <f aca="false">B114*Inputs!$B$14</f>
        <v>0</v>
      </c>
    </row>
    <row r="115" customFormat="false" ht="15" hidden="false" customHeight="false" outlineLevel="0" collapsed="false">
      <c r="A115" s="18" t="n">
        <v>111</v>
      </c>
      <c r="B115" s="19" t="n">
        <f aca="false">F114</f>
        <v>0</v>
      </c>
      <c r="C115" s="19" t="n">
        <f aca="false">IF(A115&lt;=Inputs!$B$19,Inputs!$B$21,0)</f>
        <v>0</v>
      </c>
      <c r="D115" s="19" t="n">
        <f aca="false">B115*Inputs!$B$20</f>
        <v>0</v>
      </c>
      <c r="E115" s="19" t="n">
        <f aca="false">C115-D115</f>
        <v>0</v>
      </c>
      <c r="F115" s="19" t="n">
        <f aca="false">ROUND(B115-E115,6)</f>
        <v>0</v>
      </c>
      <c r="G115" s="19" t="n">
        <f aca="false">B115*Inputs!$B$10/12</f>
        <v>0</v>
      </c>
      <c r="H115" s="19" t="n">
        <f aca="false">B115*Inputs!$B$11/12</f>
        <v>0</v>
      </c>
      <c r="I115" s="19" t="n">
        <f aca="false">B115*Inputs!$B$12/12*Inputs!$B$13</f>
        <v>0</v>
      </c>
      <c r="J115" s="19" t="n">
        <f aca="false">D115-G115-H115-I115+IF(A115=1,Inputs!$B$22,0)</f>
        <v>0</v>
      </c>
      <c r="K115" s="19" t="n">
        <f aca="false">J115*Inputs!$B$16</f>
        <v>0</v>
      </c>
      <c r="L115" s="19" t="n">
        <f aca="false">J115-K115</f>
        <v>0</v>
      </c>
      <c r="M115" s="19" t="n">
        <f aca="false">B115*Inputs!$B$14</f>
        <v>0</v>
      </c>
    </row>
    <row r="116" customFormat="false" ht="15" hidden="false" customHeight="false" outlineLevel="0" collapsed="false">
      <c r="A116" s="18" t="n">
        <v>112</v>
      </c>
      <c r="B116" s="19" t="n">
        <f aca="false">F115</f>
        <v>0</v>
      </c>
      <c r="C116" s="19" t="n">
        <f aca="false">IF(A116&lt;=Inputs!$B$19,Inputs!$B$21,0)</f>
        <v>0</v>
      </c>
      <c r="D116" s="19" t="n">
        <f aca="false">B116*Inputs!$B$20</f>
        <v>0</v>
      </c>
      <c r="E116" s="19" t="n">
        <f aca="false">C116-D116</f>
        <v>0</v>
      </c>
      <c r="F116" s="19" t="n">
        <f aca="false">ROUND(B116-E116,6)</f>
        <v>0</v>
      </c>
      <c r="G116" s="19" t="n">
        <f aca="false">B116*Inputs!$B$10/12</f>
        <v>0</v>
      </c>
      <c r="H116" s="19" t="n">
        <f aca="false">B116*Inputs!$B$11/12</f>
        <v>0</v>
      </c>
      <c r="I116" s="19" t="n">
        <f aca="false">B116*Inputs!$B$12/12*Inputs!$B$13</f>
        <v>0</v>
      </c>
      <c r="J116" s="19" t="n">
        <f aca="false">D116-G116-H116-I116+IF(A116=1,Inputs!$B$22,0)</f>
        <v>0</v>
      </c>
      <c r="K116" s="19" t="n">
        <f aca="false">J116*Inputs!$B$16</f>
        <v>0</v>
      </c>
      <c r="L116" s="19" t="n">
        <f aca="false">J116-K116</f>
        <v>0</v>
      </c>
      <c r="M116" s="19" t="n">
        <f aca="false">B116*Inputs!$B$14</f>
        <v>0</v>
      </c>
    </row>
    <row r="117" customFormat="false" ht="15" hidden="false" customHeight="false" outlineLevel="0" collapsed="false">
      <c r="A117" s="18" t="n">
        <v>113</v>
      </c>
      <c r="B117" s="19" t="n">
        <f aca="false">F116</f>
        <v>0</v>
      </c>
      <c r="C117" s="19" t="n">
        <f aca="false">IF(A117&lt;=Inputs!$B$19,Inputs!$B$21,0)</f>
        <v>0</v>
      </c>
      <c r="D117" s="19" t="n">
        <f aca="false">B117*Inputs!$B$20</f>
        <v>0</v>
      </c>
      <c r="E117" s="19" t="n">
        <f aca="false">C117-D117</f>
        <v>0</v>
      </c>
      <c r="F117" s="19" t="n">
        <f aca="false">ROUND(B117-E117,6)</f>
        <v>0</v>
      </c>
      <c r="G117" s="19" t="n">
        <f aca="false">B117*Inputs!$B$10/12</f>
        <v>0</v>
      </c>
      <c r="H117" s="19" t="n">
        <f aca="false">B117*Inputs!$B$11/12</f>
        <v>0</v>
      </c>
      <c r="I117" s="19" t="n">
        <f aca="false">B117*Inputs!$B$12/12*Inputs!$B$13</f>
        <v>0</v>
      </c>
      <c r="J117" s="19" t="n">
        <f aca="false">D117-G117-H117-I117+IF(A117=1,Inputs!$B$22,0)</f>
        <v>0</v>
      </c>
      <c r="K117" s="19" t="n">
        <f aca="false">J117*Inputs!$B$16</f>
        <v>0</v>
      </c>
      <c r="L117" s="19" t="n">
        <f aca="false">J117-K117</f>
        <v>0</v>
      </c>
      <c r="M117" s="19" t="n">
        <f aca="false">B117*Inputs!$B$14</f>
        <v>0</v>
      </c>
    </row>
    <row r="118" customFormat="false" ht="15" hidden="false" customHeight="false" outlineLevel="0" collapsed="false">
      <c r="A118" s="18" t="n">
        <v>114</v>
      </c>
      <c r="B118" s="19" t="n">
        <f aca="false">F117</f>
        <v>0</v>
      </c>
      <c r="C118" s="19" t="n">
        <f aca="false">IF(A118&lt;=Inputs!$B$19,Inputs!$B$21,0)</f>
        <v>0</v>
      </c>
      <c r="D118" s="19" t="n">
        <f aca="false">B118*Inputs!$B$20</f>
        <v>0</v>
      </c>
      <c r="E118" s="19" t="n">
        <f aca="false">C118-D118</f>
        <v>0</v>
      </c>
      <c r="F118" s="19" t="n">
        <f aca="false">ROUND(B118-E118,6)</f>
        <v>0</v>
      </c>
      <c r="G118" s="19" t="n">
        <f aca="false">B118*Inputs!$B$10/12</f>
        <v>0</v>
      </c>
      <c r="H118" s="19" t="n">
        <f aca="false">B118*Inputs!$B$11/12</f>
        <v>0</v>
      </c>
      <c r="I118" s="19" t="n">
        <f aca="false">B118*Inputs!$B$12/12*Inputs!$B$13</f>
        <v>0</v>
      </c>
      <c r="J118" s="19" t="n">
        <f aca="false">D118-G118-H118-I118+IF(A118=1,Inputs!$B$22,0)</f>
        <v>0</v>
      </c>
      <c r="K118" s="19" t="n">
        <f aca="false">J118*Inputs!$B$16</f>
        <v>0</v>
      </c>
      <c r="L118" s="19" t="n">
        <f aca="false">J118-K118</f>
        <v>0</v>
      </c>
      <c r="M118" s="19" t="n">
        <f aca="false">B118*Inputs!$B$14</f>
        <v>0</v>
      </c>
    </row>
    <row r="119" customFormat="false" ht="15" hidden="false" customHeight="false" outlineLevel="0" collapsed="false">
      <c r="A119" s="18" t="n">
        <v>115</v>
      </c>
      <c r="B119" s="19" t="n">
        <f aca="false">F118</f>
        <v>0</v>
      </c>
      <c r="C119" s="19" t="n">
        <f aca="false">IF(A119&lt;=Inputs!$B$19,Inputs!$B$21,0)</f>
        <v>0</v>
      </c>
      <c r="D119" s="19" t="n">
        <f aca="false">B119*Inputs!$B$20</f>
        <v>0</v>
      </c>
      <c r="E119" s="19" t="n">
        <f aca="false">C119-D119</f>
        <v>0</v>
      </c>
      <c r="F119" s="19" t="n">
        <f aca="false">ROUND(B119-E119,6)</f>
        <v>0</v>
      </c>
      <c r="G119" s="19" t="n">
        <f aca="false">B119*Inputs!$B$10/12</f>
        <v>0</v>
      </c>
      <c r="H119" s="19" t="n">
        <f aca="false">B119*Inputs!$B$11/12</f>
        <v>0</v>
      </c>
      <c r="I119" s="19" t="n">
        <f aca="false">B119*Inputs!$B$12/12*Inputs!$B$13</f>
        <v>0</v>
      </c>
      <c r="J119" s="19" t="n">
        <f aca="false">D119-G119-H119-I119+IF(A119=1,Inputs!$B$22,0)</f>
        <v>0</v>
      </c>
      <c r="K119" s="19" t="n">
        <f aca="false">J119*Inputs!$B$16</f>
        <v>0</v>
      </c>
      <c r="L119" s="19" t="n">
        <f aca="false">J119-K119</f>
        <v>0</v>
      </c>
      <c r="M119" s="19" t="n">
        <f aca="false">B119*Inputs!$B$14</f>
        <v>0</v>
      </c>
    </row>
    <row r="120" customFormat="false" ht="15" hidden="false" customHeight="false" outlineLevel="0" collapsed="false">
      <c r="A120" s="18" t="n">
        <v>116</v>
      </c>
      <c r="B120" s="19" t="n">
        <f aca="false">F119</f>
        <v>0</v>
      </c>
      <c r="C120" s="19" t="n">
        <f aca="false">IF(A120&lt;=Inputs!$B$19,Inputs!$B$21,0)</f>
        <v>0</v>
      </c>
      <c r="D120" s="19" t="n">
        <f aca="false">B120*Inputs!$B$20</f>
        <v>0</v>
      </c>
      <c r="E120" s="19" t="n">
        <f aca="false">C120-D120</f>
        <v>0</v>
      </c>
      <c r="F120" s="19" t="n">
        <f aca="false">ROUND(B120-E120,6)</f>
        <v>0</v>
      </c>
      <c r="G120" s="19" t="n">
        <f aca="false">B120*Inputs!$B$10/12</f>
        <v>0</v>
      </c>
      <c r="H120" s="19" t="n">
        <f aca="false">B120*Inputs!$B$11/12</f>
        <v>0</v>
      </c>
      <c r="I120" s="19" t="n">
        <f aca="false">B120*Inputs!$B$12/12*Inputs!$B$13</f>
        <v>0</v>
      </c>
      <c r="J120" s="19" t="n">
        <f aca="false">D120-G120-H120-I120+IF(A120=1,Inputs!$B$22,0)</f>
        <v>0</v>
      </c>
      <c r="K120" s="19" t="n">
        <f aca="false">J120*Inputs!$B$16</f>
        <v>0</v>
      </c>
      <c r="L120" s="19" t="n">
        <f aca="false">J120-K120</f>
        <v>0</v>
      </c>
      <c r="M120" s="19" t="n">
        <f aca="false">B120*Inputs!$B$14</f>
        <v>0</v>
      </c>
    </row>
    <row r="121" customFormat="false" ht="15" hidden="false" customHeight="false" outlineLevel="0" collapsed="false">
      <c r="A121" s="18" t="n">
        <v>117</v>
      </c>
      <c r="B121" s="19" t="n">
        <f aca="false">F120</f>
        <v>0</v>
      </c>
      <c r="C121" s="19" t="n">
        <f aca="false">IF(A121&lt;=Inputs!$B$19,Inputs!$B$21,0)</f>
        <v>0</v>
      </c>
      <c r="D121" s="19" t="n">
        <f aca="false">B121*Inputs!$B$20</f>
        <v>0</v>
      </c>
      <c r="E121" s="19" t="n">
        <f aca="false">C121-D121</f>
        <v>0</v>
      </c>
      <c r="F121" s="19" t="n">
        <f aca="false">ROUND(B121-E121,6)</f>
        <v>0</v>
      </c>
      <c r="G121" s="19" t="n">
        <f aca="false">B121*Inputs!$B$10/12</f>
        <v>0</v>
      </c>
      <c r="H121" s="19" t="n">
        <f aca="false">B121*Inputs!$B$11/12</f>
        <v>0</v>
      </c>
      <c r="I121" s="19" t="n">
        <f aca="false">B121*Inputs!$B$12/12*Inputs!$B$13</f>
        <v>0</v>
      </c>
      <c r="J121" s="19" t="n">
        <f aca="false">D121-G121-H121-I121+IF(A121=1,Inputs!$B$22,0)</f>
        <v>0</v>
      </c>
      <c r="K121" s="19" t="n">
        <f aca="false">J121*Inputs!$B$16</f>
        <v>0</v>
      </c>
      <c r="L121" s="19" t="n">
        <f aca="false">J121-K121</f>
        <v>0</v>
      </c>
      <c r="M121" s="19" t="n">
        <f aca="false">B121*Inputs!$B$14</f>
        <v>0</v>
      </c>
    </row>
    <row r="122" customFormat="false" ht="15" hidden="false" customHeight="false" outlineLevel="0" collapsed="false">
      <c r="A122" s="18" t="n">
        <v>118</v>
      </c>
      <c r="B122" s="19" t="n">
        <f aca="false">F121</f>
        <v>0</v>
      </c>
      <c r="C122" s="19" t="n">
        <f aca="false">IF(A122&lt;=Inputs!$B$19,Inputs!$B$21,0)</f>
        <v>0</v>
      </c>
      <c r="D122" s="19" t="n">
        <f aca="false">B122*Inputs!$B$20</f>
        <v>0</v>
      </c>
      <c r="E122" s="19" t="n">
        <f aca="false">C122-D122</f>
        <v>0</v>
      </c>
      <c r="F122" s="19" t="n">
        <f aca="false">ROUND(B122-E122,6)</f>
        <v>0</v>
      </c>
      <c r="G122" s="19" t="n">
        <f aca="false">B122*Inputs!$B$10/12</f>
        <v>0</v>
      </c>
      <c r="H122" s="19" t="n">
        <f aca="false">B122*Inputs!$B$11/12</f>
        <v>0</v>
      </c>
      <c r="I122" s="19" t="n">
        <f aca="false">B122*Inputs!$B$12/12*Inputs!$B$13</f>
        <v>0</v>
      </c>
      <c r="J122" s="19" t="n">
        <f aca="false">D122-G122-H122-I122+IF(A122=1,Inputs!$B$22,0)</f>
        <v>0</v>
      </c>
      <c r="K122" s="19" t="n">
        <f aca="false">J122*Inputs!$B$16</f>
        <v>0</v>
      </c>
      <c r="L122" s="19" t="n">
        <f aca="false">J122-K122</f>
        <v>0</v>
      </c>
      <c r="M122" s="19" t="n">
        <f aca="false">B122*Inputs!$B$14</f>
        <v>0</v>
      </c>
    </row>
    <row r="123" customFormat="false" ht="15" hidden="false" customHeight="false" outlineLevel="0" collapsed="false">
      <c r="A123" s="18" t="n">
        <v>119</v>
      </c>
      <c r="B123" s="19" t="n">
        <f aca="false">F122</f>
        <v>0</v>
      </c>
      <c r="C123" s="19" t="n">
        <f aca="false">IF(A123&lt;=Inputs!$B$19,Inputs!$B$21,0)</f>
        <v>0</v>
      </c>
      <c r="D123" s="19" t="n">
        <f aca="false">B123*Inputs!$B$20</f>
        <v>0</v>
      </c>
      <c r="E123" s="19" t="n">
        <f aca="false">C123-D123</f>
        <v>0</v>
      </c>
      <c r="F123" s="19" t="n">
        <f aca="false">ROUND(B123-E123,6)</f>
        <v>0</v>
      </c>
      <c r="G123" s="19" t="n">
        <f aca="false">B123*Inputs!$B$10/12</f>
        <v>0</v>
      </c>
      <c r="H123" s="19" t="n">
        <f aca="false">B123*Inputs!$B$11/12</f>
        <v>0</v>
      </c>
      <c r="I123" s="19" t="n">
        <f aca="false">B123*Inputs!$B$12/12*Inputs!$B$13</f>
        <v>0</v>
      </c>
      <c r="J123" s="19" t="n">
        <f aca="false">D123-G123-H123-I123+IF(A123=1,Inputs!$B$22,0)</f>
        <v>0</v>
      </c>
      <c r="K123" s="19" t="n">
        <f aca="false">J123*Inputs!$B$16</f>
        <v>0</v>
      </c>
      <c r="L123" s="19" t="n">
        <f aca="false">J123-K123</f>
        <v>0</v>
      </c>
      <c r="M123" s="19" t="n">
        <f aca="false">B123*Inputs!$B$14</f>
        <v>0</v>
      </c>
    </row>
    <row r="124" customFormat="false" ht="15" hidden="false" customHeight="false" outlineLevel="0" collapsed="false">
      <c r="A124" s="18" t="n">
        <v>120</v>
      </c>
      <c r="B124" s="19" t="n">
        <f aca="false">F123</f>
        <v>0</v>
      </c>
      <c r="C124" s="19" t="n">
        <f aca="false">IF(A124&lt;=Inputs!$B$19,Inputs!$B$21,0)</f>
        <v>0</v>
      </c>
      <c r="D124" s="19" t="n">
        <f aca="false">B124*Inputs!$B$20</f>
        <v>0</v>
      </c>
      <c r="E124" s="19" t="n">
        <f aca="false">C124-D124</f>
        <v>0</v>
      </c>
      <c r="F124" s="19" t="n">
        <f aca="false">ROUND(B124-E124,6)</f>
        <v>0</v>
      </c>
      <c r="G124" s="19" t="n">
        <f aca="false">B124*Inputs!$B$10/12</f>
        <v>0</v>
      </c>
      <c r="H124" s="19" t="n">
        <f aca="false">B124*Inputs!$B$11/12</f>
        <v>0</v>
      </c>
      <c r="I124" s="19" t="n">
        <f aca="false">B124*Inputs!$B$12/12*Inputs!$B$13</f>
        <v>0</v>
      </c>
      <c r="J124" s="19" t="n">
        <f aca="false">D124-G124-H124-I124+IF(A124=1,Inputs!$B$22,0)</f>
        <v>0</v>
      </c>
      <c r="K124" s="19" t="n">
        <f aca="false">J124*Inputs!$B$16</f>
        <v>0</v>
      </c>
      <c r="L124" s="19" t="n">
        <f aca="false">J124-K124</f>
        <v>0</v>
      </c>
      <c r="M124" s="19" t="n">
        <f aca="false">B124*Inputs!$B$14</f>
        <v>0</v>
      </c>
    </row>
    <row r="126" customFormat="false" ht="15" hidden="false" customHeight="false" outlineLevel="0" collapsed="false">
      <c r="A126" s="9" t="s">
        <v>69</v>
      </c>
      <c r="C126" s="20" t="n">
        <f aca="false">SUM(C5:C124)</f>
        <v>300569.228934356</v>
      </c>
      <c r="D126" s="20" t="n">
        <f aca="false">SUM(D5:D124)</f>
        <v>50569.2289345</v>
      </c>
      <c r="E126" s="20" t="n">
        <f aca="false">SUM(E5:E124)</f>
        <v>249999.999999856</v>
      </c>
      <c r="G126" s="20" t="n">
        <f aca="false">SUM(G5:G124)</f>
        <v>33712.8192896667</v>
      </c>
      <c r="H126" s="20" t="n">
        <f aca="false">SUM(H5:H124)</f>
        <v>4045.53831476</v>
      </c>
      <c r="I126" s="20" t="n">
        <f aca="false">SUM(I5:I124)</f>
        <v>4551.230604105</v>
      </c>
      <c r="J126" s="20" t="n">
        <f aca="false">SUM(J5:J124)</f>
        <v>10759.6407259683</v>
      </c>
      <c r="K126" s="20" t="n">
        <f aca="false">SUM(K5:K124)</f>
        <v>2797.50658875177</v>
      </c>
      <c r="L126" s="20" t="n">
        <f aca="false">SUM(L5:L124)</f>
        <v>7962.13413721656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3"/>
  </cols>
  <sheetData>
    <row r="1" customFormat="false" ht="17.35" hidden="false" customHeight="false" outlineLevel="0" collapsed="false">
      <c r="A1" s="1" t="s">
        <v>70</v>
      </c>
    </row>
    <row r="2" customFormat="false" ht="15" hidden="false" customHeight="false" outlineLevel="0" collapsed="false">
      <c r="A2" s="3" t="s">
        <v>71</v>
      </c>
    </row>
    <row r="4" customFormat="false" ht="15" hidden="false" customHeight="false" outlineLevel="0" collapsed="false">
      <c r="A4" s="9" t="s">
        <v>72</v>
      </c>
    </row>
    <row r="5" customFormat="false" ht="15" hidden="false" customHeight="false" outlineLevel="0" collapsed="false">
      <c r="A5" s="21" t="s">
        <v>73</v>
      </c>
      <c r="B5" s="22" t="n">
        <v>1</v>
      </c>
      <c r="C5" s="22" t="n">
        <v>2</v>
      </c>
      <c r="D5" s="22" t="n">
        <v>3</v>
      </c>
      <c r="E5" s="22" t="n">
        <v>4</v>
      </c>
      <c r="F5" s="22" t="n">
        <v>5</v>
      </c>
      <c r="G5" s="22" t="n">
        <v>7</v>
      </c>
      <c r="H5" s="22" t="n">
        <v>10</v>
      </c>
    </row>
    <row r="6" customFormat="false" ht="15" hidden="false" customHeight="false" outlineLevel="0" collapsed="false">
      <c r="A6" s="23" t="n">
        <v>0.05</v>
      </c>
      <c r="B6" s="12" t="n">
        <f aca="false">PMT($A6/12,B$5*12,-Inputs!$B$6)</f>
        <v>21401.8704471168</v>
      </c>
      <c r="C6" s="12" t="n">
        <f aca="false">PMT($A6/12,C$5*12,-Inputs!$B$6)</f>
        <v>10967.8474335171</v>
      </c>
      <c r="D6" s="12" t="n">
        <f aca="false">PMT($A6/12,D$5*12,-Inputs!$B$6)</f>
        <v>7492.72427616637</v>
      </c>
      <c r="E6" s="12" t="n">
        <f aca="false">PMT($A6/12,E$5*12,-Inputs!$B$6)</f>
        <v>5757.32339266163</v>
      </c>
      <c r="F6" s="12" t="n">
        <f aca="false">PMT($A6/12,F$5*12,-Inputs!$B$6)</f>
        <v>4717.80841100273</v>
      </c>
      <c r="G6" s="12" t="n">
        <f aca="false">PMT($A6/12,G$5*12,-Inputs!$B$6)</f>
        <v>3533.47726797675</v>
      </c>
      <c r="H6" s="12" t="n">
        <f aca="false">PMT($A6/12,H$5*12,-Inputs!$B$6)</f>
        <v>2651.63788097688</v>
      </c>
    </row>
    <row r="7" customFormat="false" ht="15" hidden="false" customHeight="false" outlineLevel="0" collapsed="false">
      <c r="A7" s="23" t="n">
        <v>0.055</v>
      </c>
      <c r="B7" s="12" t="n">
        <f aca="false">PMT($A7/12,B$5*12,-Inputs!$B$6)</f>
        <v>21459.1961430874</v>
      </c>
      <c r="C7" s="12" t="n">
        <f aca="false">PMT($A7/12,C$5*12,-Inputs!$B$6)</f>
        <v>11023.9140395342</v>
      </c>
      <c r="D7" s="12" t="n">
        <f aca="false">PMT($A7/12,D$5*12,-Inputs!$B$6)</f>
        <v>7548.97545107758</v>
      </c>
      <c r="E7" s="12" t="n">
        <f aca="false">PMT($A7/12,E$5*12,-Inputs!$B$6)</f>
        <v>5814.1188068108</v>
      </c>
      <c r="F7" s="12" t="n">
        <f aca="false">PMT($A7/12,F$5*12,-Inputs!$B$6)</f>
        <v>4775.29054294556</v>
      </c>
      <c r="G7" s="12" t="n">
        <f aca="false">PMT($A7/12,G$5*12,-Inputs!$B$6)</f>
        <v>3592.51066284824</v>
      </c>
      <c r="H7" s="12" t="n">
        <f aca="false">PMT($A7/12,H$5*12,-Inputs!$B$6)</f>
        <v>2713.15694901202</v>
      </c>
    </row>
    <row r="8" customFormat="false" ht="15" hidden="false" customHeight="false" outlineLevel="0" collapsed="false">
      <c r="A8" s="23" t="n">
        <v>0.06</v>
      </c>
      <c r="B8" s="12" t="n">
        <f aca="false">PMT($A8/12,B$5*12,-Inputs!$B$6)</f>
        <v>21516.6074267702</v>
      </c>
      <c r="C8" s="12" t="n">
        <f aca="false">PMT($A8/12,C$5*12,-Inputs!$B$6)</f>
        <v>11080.1525631892</v>
      </c>
      <c r="D8" s="12" t="n">
        <f aca="false">PMT($A8/12,D$5*12,-Inputs!$B$6)</f>
        <v>7605.48436288878</v>
      </c>
      <c r="E8" s="12" t="n">
        <f aca="false">PMT($A8/12,E$5*12,-Inputs!$B$6)</f>
        <v>5871.25726198391</v>
      </c>
      <c r="F8" s="12" t="n">
        <f aca="false">PMT($A8/12,F$5*12,-Inputs!$B$6)</f>
        <v>4833.20038235698</v>
      </c>
      <c r="G8" s="12" t="n">
        <f aca="false">PMT($A8/12,G$5*12,-Inputs!$B$6)</f>
        <v>3652.1386209452</v>
      </c>
      <c r="H8" s="12" t="n">
        <f aca="false">PMT($A8/12,H$5*12,-Inputs!$B$6)</f>
        <v>2775.51254854124</v>
      </c>
    </row>
    <row r="9" customFormat="false" ht="15" hidden="false" customHeight="false" outlineLevel="0" collapsed="false">
      <c r="A9" s="23" t="n">
        <v>0.065</v>
      </c>
      <c r="B9" s="12" t="n">
        <f aca="false">PMT($A9/12,B$5*12,-Inputs!$B$6)</f>
        <v>21574.1042400703</v>
      </c>
      <c r="C9" s="12" t="n">
        <f aca="false">PMT($A9/12,C$5*12,-Inputs!$B$6)</f>
        <v>11136.5628583777</v>
      </c>
      <c r="D9" s="12" t="n">
        <f aca="false">PMT($A9/12,D$5*12,-Inputs!$B$6)</f>
        <v>7662.25071912745</v>
      </c>
      <c r="E9" s="12" t="n">
        <f aca="false">PMT($A9/12,E$5*12,-Inputs!$B$6)</f>
        <v>5928.73823222442</v>
      </c>
      <c r="F9" s="12" t="n">
        <f aca="false">PMT($A9/12,F$5*12,-Inputs!$B$6)</f>
        <v>4891.53705468214</v>
      </c>
      <c r="G9" s="12" t="n">
        <f aca="false">PMT($A9/12,G$5*12,-Inputs!$B$6)</f>
        <v>3712.35911795777</v>
      </c>
      <c r="H9" s="12" t="n">
        <f aca="false">PMT($A9/12,H$5*12,-Inputs!$B$6)</f>
        <v>2838.69943050065</v>
      </c>
    </row>
    <row r="10" customFormat="false" ht="15" hidden="false" customHeight="false" outlineLevel="0" collapsed="false">
      <c r="A10" s="23" t="n">
        <v>0.07</v>
      </c>
      <c r="B10" s="12" t="n">
        <f aca="false">PMT($A10/12,B$5*12,-Inputs!$B$6)</f>
        <v>21631.6865245345</v>
      </c>
      <c r="C10" s="12" t="n">
        <f aca="false">PMT($A10/12,C$5*12,-Inputs!$B$6)</f>
        <v>11193.1447757864</v>
      </c>
      <c r="D10" s="12" t="n">
        <f aca="false">PMT($A10/12,D$5*12,-Inputs!$B$6)</f>
        <v>7719.27421634299</v>
      </c>
      <c r="E10" s="12" t="n">
        <f aca="false">PMT($A10/12,E$5*12,-Inputs!$B$6)</f>
        <v>5986.56116561073</v>
      </c>
      <c r="F10" s="12" t="n">
        <f aca="false">PMT($A10/12,F$5*12,-Inputs!$B$6)</f>
        <v>4950.29963508739</v>
      </c>
      <c r="G10" s="12" t="n">
        <f aca="false">PMT($A10/12,G$5*12,-Inputs!$B$6)</f>
        <v>3773.16999554735</v>
      </c>
      <c r="H10" s="12" t="n">
        <f aca="false">PMT($A10/12,H$5*12,-Inputs!$B$6)</f>
        <v>2902.7119804656</v>
      </c>
    </row>
    <row r="11" customFormat="false" ht="15" hidden="false" customHeight="false" outlineLevel="0" collapsed="false">
      <c r="A11" s="23" t="n">
        <v>0.075</v>
      </c>
      <c r="B11" s="12" t="n">
        <f aca="false">PMT($A11/12,B$5*12,-Inputs!$B$6)</f>
        <v>21689.3542213518</v>
      </c>
      <c r="C11" s="12" t="n">
        <f aca="false">PMT($A11/12,C$5*12,-Inputs!$B$6)</f>
        <v>11249.8981629061</v>
      </c>
      <c r="D11" s="12" t="n">
        <f aca="false">PMT($A11/12,D$5*12,-Inputs!$B$6)</f>
        <v>7776.55454016411</v>
      </c>
      <c r="E11" s="12" t="n">
        <f aca="false">PMT($A11/12,E$5*12,-Inputs!$B$6)</f>
        <v>6044.72548443281</v>
      </c>
      <c r="F11" s="12" t="n">
        <f aca="false">PMT($A11/12,F$5*12,-Inputs!$B$6)</f>
        <v>5009.48714890594</v>
      </c>
      <c r="G11" s="12" t="n">
        <f aca="false">PMT($A11/12,G$5*12,-Inputs!$B$6)</f>
        <v>3834.56896328126</v>
      </c>
      <c r="H11" s="12" t="n">
        <f aca="false">PMT($A11/12,H$5*12,-Inputs!$B$6)</f>
        <v>2967.54422839636</v>
      </c>
    </row>
    <row r="12" customFormat="false" ht="15" hidden="false" customHeight="false" outlineLevel="0" collapsed="false">
      <c r="A12" s="23" t="n">
        <v>0.08</v>
      </c>
      <c r="B12" s="12" t="n">
        <f aca="false">PMT($A12/12,B$5*12,-Inputs!$B$6)</f>
        <v>21747.1072713553</v>
      </c>
      <c r="C12" s="12" t="n">
        <f aca="false">PMT($A12/12,C$5*12,-Inputs!$B$6)</f>
        <v>11306.822864046</v>
      </c>
      <c r="D12" s="12" t="n">
        <f aca="false">PMT($A12/12,D$5*12,-Inputs!$B$6)</f>
        <v>7834.09136535771</v>
      </c>
      <c r="E12" s="12" t="n">
        <f aca="false">PMT($A12/12,E$5*12,-Inputs!$B$6)</f>
        <v>6103.23058537562</v>
      </c>
      <c r="F12" s="12" t="n">
        <f aca="false">PMT($A12/12,F$5*12,-Inputs!$B$6)</f>
        <v>5069.09857210342</v>
      </c>
      <c r="G12" s="12" t="n">
        <f aca="false">PMT($A12/12,G$5*12,-Inputs!$B$6)</f>
        <v>3896.55360066739</v>
      </c>
      <c r="H12" s="12" t="n">
        <f aca="false">PMT($A12/12,H$5*12,-Inputs!$B$6)</f>
        <v>3033.18985888392</v>
      </c>
    </row>
    <row r="13" customFormat="false" ht="15" hidden="false" customHeight="false" outlineLevel="0" collapsed="false">
      <c r="A13" s="23" t="n">
        <v>0.085</v>
      </c>
      <c r="B13" s="12" t="n">
        <f aca="false">PMT($A13/12,B$5*12,-Inputs!$B$6)</f>
        <v>21804.9456150232</v>
      </c>
      <c r="C13" s="12" t="n">
        <f aca="false">PMT($A13/12,C$5*12,-Inputs!$B$6)</f>
        <v>11363.9187203465</v>
      </c>
      <c r="D13" s="12" t="n">
        <f aca="false">PMT($A13/12,D$5*12,-Inputs!$B$6)</f>
        <v>7891.88435588935</v>
      </c>
      <c r="E13" s="12" t="n">
        <f aca="false">PMT($A13/12,E$5*12,-Inputs!$B$6)</f>
        <v>6162.07583970893</v>
      </c>
      <c r="F13" s="12" t="n">
        <f aca="false">PMT($A13/12,F$5*12,-Inputs!$B$6)</f>
        <v>5129.13283176281</v>
      </c>
      <c r="G13" s="12" t="n">
        <f aca="false">PMT($A13/12,G$5*12,-Inputs!$B$6)</f>
        <v>3959.12135928517</v>
      </c>
      <c r="H13" s="12" t="n">
        <f aca="false">PMT($A13/12,H$5*12,-Inputs!$B$6)</f>
        <v>3099.64222186278</v>
      </c>
    </row>
    <row r="14" customFormat="false" ht="15" hidden="false" customHeight="false" outlineLevel="0" collapsed="false">
      <c r="A14" s="23" t="n">
        <v>0.09</v>
      </c>
      <c r="B14" s="12" t="n">
        <f aca="false">PMT($A14/12,B$5*12,-Inputs!$B$6)</f>
        <v>21862.8691924804</v>
      </c>
      <c r="C14" s="12" t="n">
        <f aca="false">PMT($A14/12,C$5*12,-Inputs!$B$6)</f>
        <v>11421.1855697933</v>
      </c>
      <c r="D14" s="12" t="n">
        <f aca="false">PMT($A14/12,D$5*12,-Inputs!$B$6)</f>
        <v>7949.93316498517</v>
      </c>
      <c r="E14" s="12" t="n">
        <f aca="false">PMT($A14/12,E$5*12,-Inputs!$B$6)</f>
        <v>6221.26059348355</v>
      </c>
      <c r="F14" s="12" t="n">
        <f aca="false">PMT($A14/12,F$5*12,-Inputs!$B$6)</f>
        <v>5189.5888065885</v>
      </c>
      <c r="G14" s="12" t="n">
        <f aca="false">PMT($A14/12,G$5*12,-Inputs!$B$6)</f>
        <v>4022.26956500964</v>
      </c>
      <c r="H14" s="12" t="n">
        <f aca="false">PMT($A14/12,H$5*12,-Inputs!$B$6)</f>
        <v>3166.89434375624</v>
      </c>
    </row>
    <row r="15" customFormat="false" ht="15" hidden="false" customHeight="false" outlineLevel="0" collapsed="false">
      <c r="A15" s="23" t="n">
        <v>0.095</v>
      </c>
      <c r="B15" s="12" t="n">
        <f aca="false">PMT($A15/12,B$5*12,-Inputs!$B$6)</f>
        <v>21920.8779434995</v>
      </c>
      <c r="C15" s="12" t="n">
        <f aca="false">PMT($A15/12,C$5*12,-Inputs!$B$6)</f>
        <v>11478.6232472313</v>
      </c>
      <c r="D15" s="12" t="n">
        <f aca="false">PMT($A15/12,D$5*12,-Inputs!$B$6)</f>
        <v>8008.23743519542</v>
      </c>
      <c r="E15" s="12" t="n">
        <f aca="false">PMT($A15/12,E$5*12,-Inputs!$B$6)</f>
        <v>6280.78416773393</v>
      </c>
      <c r="F15" s="12" t="n">
        <f aca="false">PMT($A15/12,F$5*12,-Inputs!$B$6)</f>
        <v>5250.46532742888</v>
      </c>
      <c r="G15" s="12" t="n">
        <f aca="false">PMT($A15/12,G$5*12,-Inputs!$B$6)</f>
        <v>4085.99542032461</v>
      </c>
      <c r="H15" s="12" t="n">
        <f aca="false">PMT($A15/12,H$5*12,-Inputs!$B$6)</f>
        <v>3234.93893901943</v>
      </c>
    </row>
    <row r="16" customFormat="false" ht="15" hidden="false" customHeight="false" outlineLevel="0" collapsed="false">
      <c r="A16" s="23" t="n">
        <v>0.1</v>
      </c>
      <c r="B16" s="12" t="n">
        <f aca="false">PMT($A16/12,B$5*12,-Inputs!$B$6)</f>
        <v>21978.9718075024</v>
      </c>
      <c r="C16" s="12" t="n">
        <f aca="false">PMT($A16/12,C$5*12,-Inputs!$B$6)</f>
        <v>11536.2315843791</v>
      </c>
      <c r="D16" s="12" t="n">
        <f aca="false">PMT($A16/12,D$5*12,-Inputs!$B$6)</f>
        <v>8066.79679845937</v>
      </c>
      <c r="E16" s="12" t="n">
        <f aca="false">PMT($A16/12,E$5*12,-Inputs!$B$6)</f>
        <v>6340.6458586868</v>
      </c>
      <c r="F16" s="12" t="n">
        <f aca="false">PMT($A16/12,F$5*12,-Inputs!$B$6)</f>
        <v>5311.76117781707</v>
      </c>
      <c r="G16" s="12" t="n">
        <f aca="false">PMT($A16/12,G$5*12,-Inputs!$B$6)</f>
        <v>4150.29600672148</v>
      </c>
      <c r="H16" s="12" t="n">
        <f aca="false">PMT($A16/12,H$5*12,-Inputs!$B$6)</f>
        <v>3303.76842204404</v>
      </c>
    </row>
    <row r="19" customFormat="false" ht="15" hidden="false" customHeight="false" outlineLevel="0" collapsed="false">
      <c r="A19" s="9" t="s">
        <v>74</v>
      </c>
    </row>
    <row r="20" customFormat="false" ht="15" hidden="false" customHeight="false" outlineLevel="0" collapsed="false">
      <c r="A20" s="21" t="s">
        <v>75</v>
      </c>
      <c r="B20" s="24" t="n">
        <v>0.005</v>
      </c>
      <c r="C20" s="24" t="n">
        <v>0.01</v>
      </c>
      <c r="D20" s="24" t="n">
        <v>0.015</v>
      </c>
      <c r="E20" s="24" t="n">
        <v>0.02</v>
      </c>
      <c r="F20" s="24" t="n">
        <v>0.03</v>
      </c>
      <c r="G20" s="24" t="n">
        <v>0.04</v>
      </c>
      <c r="H20" s="24" t="n">
        <v>0.05</v>
      </c>
    </row>
    <row r="21" customFormat="false" ht="15" hidden="false" customHeight="false" outlineLevel="0" collapsed="false">
      <c r="A21" s="23" t="n">
        <v>0.05</v>
      </c>
      <c r="B21" s="17" t="n">
        <f aca="false">$A21-Inputs!$B$10-Inputs!$B$11-B$20*Inputs!$B$13</f>
        <v>-0.00825</v>
      </c>
      <c r="C21" s="17" t="n">
        <f aca="false">$A21-Inputs!$B$10-Inputs!$B$11-C$20*Inputs!$B$13</f>
        <v>-0.0105</v>
      </c>
      <c r="D21" s="17" t="n">
        <f aca="false">$A21-Inputs!$B$10-Inputs!$B$11-D$20*Inputs!$B$13</f>
        <v>-0.01275</v>
      </c>
      <c r="E21" s="17" t="n">
        <f aca="false">$A21-Inputs!$B$10-Inputs!$B$11-E$20*Inputs!$B$13</f>
        <v>-0.015</v>
      </c>
      <c r="F21" s="17" t="n">
        <f aca="false">$A21-Inputs!$B$10-Inputs!$B$11-F$20*Inputs!$B$13</f>
        <v>-0.0195</v>
      </c>
      <c r="G21" s="17" t="n">
        <f aca="false">$A21-Inputs!$B$10-Inputs!$B$11-G$20*Inputs!$B$13</f>
        <v>-0.024</v>
      </c>
      <c r="H21" s="17" t="n">
        <f aca="false">$A21-Inputs!$B$10-Inputs!$B$11-H$20*Inputs!$B$13</f>
        <v>-0.0285</v>
      </c>
    </row>
    <row r="22" customFormat="false" ht="15" hidden="false" customHeight="false" outlineLevel="0" collapsed="false">
      <c r="A22" s="23" t="n">
        <v>0.055</v>
      </c>
      <c r="B22" s="17" t="n">
        <f aca="false">$A22-Inputs!$B$10-Inputs!$B$11-B$20*Inputs!$B$13</f>
        <v>-0.00325</v>
      </c>
      <c r="C22" s="17" t="n">
        <f aca="false">$A22-Inputs!$B$10-Inputs!$B$11-C$20*Inputs!$B$13</f>
        <v>-0.0055</v>
      </c>
      <c r="D22" s="17" t="n">
        <f aca="false">$A22-Inputs!$B$10-Inputs!$B$11-D$20*Inputs!$B$13</f>
        <v>-0.00775</v>
      </c>
      <c r="E22" s="17" t="n">
        <f aca="false">$A22-Inputs!$B$10-Inputs!$B$11-E$20*Inputs!$B$13</f>
        <v>-0.01</v>
      </c>
      <c r="F22" s="17" t="n">
        <f aca="false">$A22-Inputs!$B$10-Inputs!$B$11-F$20*Inputs!$B$13</f>
        <v>-0.0145</v>
      </c>
      <c r="G22" s="17" t="n">
        <f aca="false">$A22-Inputs!$B$10-Inputs!$B$11-G$20*Inputs!$B$13</f>
        <v>-0.019</v>
      </c>
      <c r="H22" s="17" t="n">
        <f aca="false">$A22-Inputs!$B$10-Inputs!$B$11-H$20*Inputs!$B$13</f>
        <v>-0.0235</v>
      </c>
    </row>
    <row r="23" customFormat="false" ht="15" hidden="false" customHeight="false" outlineLevel="0" collapsed="false">
      <c r="A23" s="23" t="n">
        <v>0.06</v>
      </c>
      <c r="B23" s="17" t="n">
        <f aca="false">$A23-Inputs!$B$10-Inputs!$B$11-B$20*Inputs!$B$13</f>
        <v>0.00174999999999999</v>
      </c>
      <c r="C23" s="17" t="n">
        <f aca="false">$A23-Inputs!$B$10-Inputs!$B$11-C$20*Inputs!$B$13</f>
        <v>-0.000500000000000006</v>
      </c>
      <c r="D23" s="17" t="n">
        <f aca="false">$A23-Inputs!$B$10-Inputs!$B$11-D$20*Inputs!$B$13</f>
        <v>-0.00275000000000001</v>
      </c>
      <c r="E23" s="17" t="n">
        <f aca="false">$A23-Inputs!$B$10-Inputs!$B$11-E$20*Inputs!$B$13</f>
        <v>-0.00500000000000001</v>
      </c>
      <c r="F23" s="17" t="n">
        <f aca="false">$A23-Inputs!$B$10-Inputs!$B$11-F$20*Inputs!$B$13</f>
        <v>-0.00950000000000001</v>
      </c>
      <c r="G23" s="17" t="n">
        <f aca="false">$A23-Inputs!$B$10-Inputs!$B$11-G$20*Inputs!$B$13</f>
        <v>-0.014</v>
      </c>
      <c r="H23" s="17" t="n">
        <f aca="false">$A23-Inputs!$B$10-Inputs!$B$11-H$20*Inputs!$B$13</f>
        <v>-0.0185</v>
      </c>
    </row>
    <row r="24" customFormat="false" ht="15" hidden="false" customHeight="false" outlineLevel="0" collapsed="false">
      <c r="A24" s="23" t="n">
        <v>0.065</v>
      </c>
      <c r="B24" s="17" t="n">
        <f aca="false">$A24-Inputs!$B$10-Inputs!$B$11-B$20*Inputs!$B$13</f>
        <v>0.00675</v>
      </c>
      <c r="C24" s="17" t="n">
        <f aca="false">$A24-Inputs!$B$10-Inputs!$B$11-C$20*Inputs!$B$13</f>
        <v>0.0045</v>
      </c>
      <c r="D24" s="17" t="n">
        <f aca="false">$A24-Inputs!$B$10-Inputs!$B$11-D$20*Inputs!$B$13</f>
        <v>0.00225</v>
      </c>
      <c r="E24" s="17" t="n">
        <f aca="false">$A24-Inputs!$B$10-Inputs!$B$11-E$20*Inputs!$B$13</f>
        <v>0</v>
      </c>
      <c r="F24" s="17" t="n">
        <f aca="false">$A24-Inputs!$B$10-Inputs!$B$11-F$20*Inputs!$B$13</f>
        <v>-0.0045</v>
      </c>
      <c r="G24" s="17" t="n">
        <f aca="false">$A24-Inputs!$B$10-Inputs!$B$11-G$20*Inputs!$B$13</f>
        <v>-0.009</v>
      </c>
      <c r="H24" s="17" t="n">
        <f aca="false">$A24-Inputs!$B$10-Inputs!$B$11-H$20*Inputs!$B$13</f>
        <v>-0.0135</v>
      </c>
    </row>
    <row r="25" customFormat="false" ht="15" hidden="false" customHeight="false" outlineLevel="0" collapsed="false">
      <c r="A25" s="23" t="n">
        <v>0.07</v>
      </c>
      <c r="B25" s="17" t="n">
        <f aca="false">$A25-Inputs!$B$10-Inputs!$B$11-B$20*Inputs!$B$13</f>
        <v>0.01175</v>
      </c>
      <c r="C25" s="17" t="n">
        <f aca="false">$A25-Inputs!$B$10-Inputs!$B$11-C$20*Inputs!$B$13</f>
        <v>0.0095</v>
      </c>
      <c r="D25" s="17" t="n">
        <f aca="false">$A25-Inputs!$B$10-Inputs!$B$11-D$20*Inputs!$B$13</f>
        <v>0.00725</v>
      </c>
      <c r="E25" s="17" t="n">
        <f aca="false">$A25-Inputs!$B$10-Inputs!$B$11-E$20*Inputs!$B$13</f>
        <v>0.005</v>
      </c>
      <c r="F25" s="17" t="n">
        <f aca="false">$A25-Inputs!$B$10-Inputs!$B$11-F$20*Inputs!$B$13</f>
        <v>0.000500000000000004</v>
      </c>
      <c r="G25" s="17" t="n">
        <f aca="false">$A25-Inputs!$B$10-Inputs!$B$11-G$20*Inputs!$B$13</f>
        <v>-0.004</v>
      </c>
      <c r="H25" s="17" t="n">
        <f aca="false">$A25-Inputs!$B$10-Inputs!$B$11-H$20*Inputs!$B$13</f>
        <v>-0.0085</v>
      </c>
    </row>
    <row r="26" customFormat="false" ht="15" hidden="false" customHeight="false" outlineLevel="0" collapsed="false">
      <c r="A26" s="23" t="n">
        <v>0.075</v>
      </c>
      <c r="B26" s="17" t="n">
        <f aca="false">$A26-Inputs!$B$10-Inputs!$B$11-B$20*Inputs!$B$13</f>
        <v>0.01675</v>
      </c>
      <c r="C26" s="17" t="n">
        <f aca="false">$A26-Inputs!$B$10-Inputs!$B$11-C$20*Inputs!$B$13</f>
        <v>0.0145</v>
      </c>
      <c r="D26" s="17" t="n">
        <f aca="false">$A26-Inputs!$B$10-Inputs!$B$11-D$20*Inputs!$B$13</f>
        <v>0.01225</v>
      </c>
      <c r="E26" s="17" t="n">
        <f aca="false">$A26-Inputs!$B$10-Inputs!$B$11-E$20*Inputs!$B$13</f>
        <v>0.01</v>
      </c>
      <c r="F26" s="17" t="n">
        <f aca="false">$A26-Inputs!$B$10-Inputs!$B$11-F$20*Inputs!$B$13</f>
        <v>0.00550000000000001</v>
      </c>
      <c r="G26" s="17" t="n">
        <f aca="false">$A26-Inputs!$B$10-Inputs!$B$11-G$20*Inputs!$B$13</f>
        <v>0.00100000000000001</v>
      </c>
      <c r="H26" s="17" t="n">
        <f aca="false">$A26-Inputs!$B$10-Inputs!$B$11-H$20*Inputs!$B$13</f>
        <v>-0.00349999999999999</v>
      </c>
    </row>
    <row r="27" customFormat="false" ht="15" hidden="false" customHeight="false" outlineLevel="0" collapsed="false">
      <c r="A27" s="23" t="n">
        <v>0.08</v>
      </c>
      <c r="B27" s="17" t="n">
        <f aca="false">$A27-Inputs!$B$10-Inputs!$B$11-B$20*Inputs!$B$13</f>
        <v>0.02175</v>
      </c>
      <c r="C27" s="17" t="n">
        <f aca="false">$A27-Inputs!$B$10-Inputs!$B$11-C$20*Inputs!$B$13</f>
        <v>0.0195</v>
      </c>
      <c r="D27" s="17" t="n">
        <f aca="false">$A27-Inputs!$B$10-Inputs!$B$11-D$20*Inputs!$B$13</f>
        <v>0.01725</v>
      </c>
      <c r="E27" s="17" t="n">
        <f aca="false">$A27-Inputs!$B$10-Inputs!$B$11-E$20*Inputs!$B$13</f>
        <v>0.015</v>
      </c>
      <c r="F27" s="17" t="n">
        <f aca="false">$A27-Inputs!$B$10-Inputs!$B$11-F$20*Inputs!$B$13</f>
        <v>0.0105</v>
      </c>
      <c r="G27" s="17" t="n">
        <f aca="false">$A27-Inputs!$B$10-Inputs!$B$11-G$20*Inputs!$B$13</f>
        <v>0.006</v>
      </c>
      <c r="H27" s="17" t="n">
        <f aca="false">$A27-Inputs!$B$10-Inputs!$B$11-H$20*Inputs!$B$13</f>
        <v>0.0015</v>
      </c>
    </row>
    <row r="28" customFormat="false" ht="15" hidden="false" customHeight="false" outlineLevel="0" collapsed="false">
      <c r="A28" s="23" t="n">
        <v>0.085</v>
      </c>
      <c r="B28" s="17" t="n">
        <f aca="false">$A28-Inputs!$B$10-Inputs!$B$11-B$20*Inputs!$B$13</f>
        <v>0.02675</v>
      </c>
      <c r="C28" s="17" t="n">
        <f aca="false">$A28-Inputs!$B$10-Inputs!$B$11-C$20*Inputs!$B$13</f>
        <v>0.0245</v>
      </c>
      <c r="D28" s="17" t="n">
        <f aca="false">$A28-Inputs!$B$10-Inputs!$B$11-D$20*Inputs!$B$13</f>
        <v>0.02225</v>
      </c>
      <c r="E28" s="17" t="n">
        <f aca="false">$A28-Inputs!$B$10-Inputs!$B$11-E$20*Inputs!$B$13</f>
        <v>0.02</v>
      </c>
      <c r="F28" s="17" t="n">
        <f aca="false">$A28-Inputs!$B$10-Inputs!$B$11-F$20*Inputs!$B$13</f>
        <v>0.0155</v>
      </c>
      <c r="G28" s="17" t="n">
        <f aca="false">$A28-Inputs!$B$10-Inputs!$B$11-G$20*Inputs!$B$13</f>
        <v>0.011</v>
      </c>
      <c r="H28" s="17" t="n">
        <f aca="false">$A28-Inputs!$B$10-Inputs!$B$11-H$20*Inputs!$B$13</f>
        <v>0.0065</v>
      </c>
    </row>
    <row r="29" customFormat="false" ht="15" hidden="false" customHeight="false" outlineLevel="0" collapsed="false">
      <c r="A29" s="23" t="n">
        <v>0.09</v>
      </c>
      <c r="B29" s="17" t="n">
        <f aca="false">$A29-Inputs!$B$10-Inputs!$B$11-B$20*Inputs!$B$13</f>
        <v>0.03175</v>
      </c>
      <c r="C29" s="17" t="n">
        <f aca="false">$A29-Inputs!$B$10-Inputs!$B$11-C$20*Inputs!$B$13</f>
        <v>0.0295</v>
      </c>
      <c r="D29" s="17" t="n">
        <f aca="false">$A29-Inputs!$B$10-Inputs!$B$11-D$20*Inputs!$B$13</f>
        <v>0.02725</v>
      </c>
      <c r="E29" s="17" t="n">
        <f aca="false">$A29-Inputs!$B$10-Inputs!$B$11-E$20*Inputs!$B$13</f>
        <v>0.025</v>
      </c>
      <c r="F29" s="17" t="n">
        <f aca="false">$A29-Inputs!$B$10-Inputs!$B$11-F$20*Inputs!$B$13</f>
        <v>0.0205</v>
      </c>
      <c r="G29" s="17" t="n">
        <f aca="false">$A29-Inputs!$B$10-Inputs!$B$11-G$20*Inputs!$B$13</f>
        <v>0.016</v>
      </c>
      <c r="H29" s="17" t="n">
        <f aca="false">$A29-Inputs!$B$10-Inputs!$B$11-H$20*Inputs!$B$13</f>
        <v>0.0115</v>
      </c>
    </row>
    <row r="30" customFormat="false" ht="15" hidden="false" customHeight="false" outlineLevel="0" collapsed="false">
      <c r="A30" s="23" t="n">
        <v>0.095</v>
      </c>
      <c r="B30" s="17" t="n">
        <f aca="false">$A30-Inputs!$B$10-Inputs!$B$11-B$20*Inputs!$B$13</f>
        <v>0.03675</v>
      </c>
      <c r="C30" s="17" t="n">
        <f aca="false">$A30-Inputs!$B$10-Inputs!$B$11-C$20*Inputs!$B$13</f>
        <v>0.0345</v>
      </c>
      <c r="D30" s="17" t="n">
        <f aca="false">$A30-Inputs!$B$10-Inputs!$B$11-D$20*Inputs!$B$13</f>
        <v>0.03225</v>
      </c>
      <c r="E30" s="17" t="n">
        <f aca="false">$A30-Inputs!$B$10-Inputs!$B$11-E$20*Inputs!$B$13</f>
        <v>0.03</v>
      </c>
      <c r="F30" s="17" t="n">
        <f aca="false">$A30-Inputs!$B$10-Inputs!$B$11-F$20*Inputs!$B$13</f>
        <v>0.0255</v>
      </c>
      <c r="G30" s="17" t="n">
        <f aca="false">$A30-Inputs!$B$10-Inputs!$B$11-G$20*Inputs!$B$13</f>
        <v>0.021</v>
      </c>
      <c r="H30" s="17" t="n">
        <f aca="false">$A30-Inputs!$B$10-Inputs!$B$11-H$20*Inputs!$B$13</f>
        <v>0.0165</v>
      </c>
    </row>
    <row r="31" customFormat="false" ht="15" hidden="false" customHeight="false" outlineLevel="0" collapsed="false">
      <c r="A31" s="23" t="n">
        <v>0.1</v>
      </c>
      <c r="B31" s="17" t="n">
        <f aca="false">$A31-Inputs!$B$10-Inputs!$B$11-B$20*Inputs!$B$13</f>
        <v>0.04175</v>
      </c>
      <c r="C31" s="17" t="n">
        <f aca="false">$A31-Inputs!$B$10-Inputs!$B$11-C$20*Inputs!$B$13</f>
        <v>0.0395</v>
      </c>
      <c r="D31" s="17" t="n">
        <f aca="false">$A31-Inputs!$B$10-Inputs!$B$11-D$20*Inputs!$B$13</f>
        <v>0.03725</v>
      </c>
      <c r="E31" s="17" t="n">
        <f aca="false">$A31-Inputs!$B$10-Inputs!$B$11-E$20*Inputs!$B$13</f>
        <v>0.035</v>
      </c>
      <c r="F31" s="17" t="n">
        <f aca="false">$A31-Inputs!$B$10-Inputs!$B$11-F$20*Inputs!$B$13</f>
        <v>0.0305</v>
      </c>
      <c r="G31" s="17" t="n">
        <f aca="false">$A31-Inputs!$B$10-Inputs!$B$11-G$20*Inputs!$B$13</f>
        <v>0.026</v>
      </c>
      <c r="H31" s="17" t="n">
        <f aca="false">$A31-Inputs!$B$10-Inputs!$B$11-H$20*Inputs!$B$13</f>
        <v>0.0215</v>
      </c>
    </row>
    <row r="33" customFormat="false" ht="15" hidden="false" customHeight="false" outlineLevel="0" collapsed="false">
      <c r="A33" s="3" t="s">
        <v>76</v>
      </c>
    </row>
  </sheetData>
  <conditionalFormatting sqref="B21:H31">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2026-10-24T13:50:53Z</dcterms:created>
  <dc:creator>openpyxl</dc:creator>
  <dc:description/>
  <dc:language>en-US</dc:language>
  <cp:lastModifiedBy/>
  <dcterms:modified xsi:type="dcterms:W3CDTF">2026-10-24T11:20:55Z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